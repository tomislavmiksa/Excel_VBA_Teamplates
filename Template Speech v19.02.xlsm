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tomislav.miksa\Desktop\Q3 Templates\"/>
    </mc:Choice>
  </mc:AlternateContent>
  <xr:revisionPtr revIDLastSave="0" documentId="13_ncr:1_{B9026E96-4CD4-40BA-8DB7-03908FF6DB0F}" xr6:coauthVersionLast="36" xr6:coauthVersionMax="36" xr10:uidLastSave="{00000000-0000-0000-0000-000000000000}"/>
  <bookViews>
    <workbookView xWindow="-120" yWindow="-120" windowWidth="29040" windowHeight="15990" tabRatio="817" xr2:uid="{00000000-000D-0000-FFFF-FFFF00000000}"/>
  </bookViews>
  <sheets>
    <sheet name="MASTER" sheetId="17" r:id="rId1"/>
    <sheet name="KPI Definition" sheetId="4" r:id="rId2"/>
    <sheet name="RANKING" sheetId="5" r:id="rId3"/>
    <sheet name="Operator1" sheetId="6" r:id="rId4"/>
    <sheet name="Operator2" sheetId="7" r:id="rId5"/>
    <sheet name="Operator3" sheetId="8" r:id="rId6"/>
    <sheet name="Operator4" sheetId="9" r:id="rId7"/>
    <sheet name="Operator5" sheetId="10" r:id="rId8"/>
    <sheet name="Lists" sheetId="11" r:id="rId9"/>
    <sheet name="SetupEnviroment" sheetId="12" r:id="rId10"/>
  </sheets>
  <definedNames>
    <definedName name="_FilterDatabase" localSheetId="3" hidden="1">Operator1!$A$1:$HN$2</definedName>
    <definedName name="_FilterDatabase" localSheetId="4" hidden="1">Operator2!$A$1:$HN$2</definedName>
    <definedName name="_FilterDatabase" localSheetId="5" hidden="1">Operator3!$A$1:$HN$2</definedName>
    <definedName name="_FilterDatabase" localSheetId="6" hidden="1">Operator4!$A$1:$HN$2</definedName>
    <definedName name="_FilterDatabase" localSheetId="7" hidden="1">Operator5!$A$1:$HN$2</definedName>
    <definedName name="_xlnm._FilterDatabase" localSheetId="3" hidden="1">Operator1!$A$1:$HN$111280</definedName>
    <definedName name="_xlnm._FilterDatabase" localSheetId="4" hidden="1">Operator2!$A$1:$HN$109153</definedName>
    <definedName name="_xlnm._FilterDatabase" localSheetId="5" hidden="1">Operator3!$A$1:$HN$107451</definedName>
    <definedName name="_xlnm._FilterDatabase" localSheetId="6" hidden="1">Operator4!$A$1:$HN$2</definedName>
    <definedName name="_xlnm._FilterDatabase" localSheetId="7" hidden="1">Operator5!$A$1:$HN$2</definedName>
    <definedName name="aa" localSheetId="3" hidden="1">Operator1!$A$1:$HN$2</definedName>
    <definedName name="aaa" localSheetId="4" hidden="1">Operator2!$A$1:$HN$2</definedName>
    <definedName name="aaaa" localSheetId="5" hidden="1">Operator3!$A$1:$HN$2</definedName>
    <definedName name="aaaaaa" localSheetId="6" hidden="1">Operator4!$A$1:$HN$2</definedName>
    <definedName name="aaaaaaa" localSheetId="7" hidden="1">Operator5!$A$1:$HN$2</definedName>
    <definedName name="lists1">Lists!$G$2</definedName>
    <definedName name="lists10">Lists!$L$2</definedName>
    <definedName name="lists11">Lists!$M$2</definedName>
    <definedName name="lists12">Lists!$P$2</definedName>
    <definedName name="lists13">Lists!$R$2</definedName>
    <definedName name="lists14">Lists!$Q$2</definedName>
    <definedName name="lists15">Lists!$S$2</definedName>
    <definedName name="lists16">Lists!$T$2</definedName>
    <definedName name="lists17">Lists!$B$2</definedName>
    <definedName name="lists18">Lists!$C$2</definedName>
    <definedName name="lists19">Lists!$D$2</definedName>
    <definedName name="lists2">Lists!$H$2</definedName>
    <definedName name="lists20">Lists!$E$2</definedName>
    <definedName name="lists21">Lists!$F$2</definedName>
    <definedName name="lists22">Lists!$W$2</definedName>
    <definedName name="lists23">Lists!$X$2</definedName>
    <definedName name="lists24">Lists!$Y$2</definedName>
    <definedName name="lists25">Lists!$Z$2</definedName>
    <definedName name="lists26">Lists!$AA$2</definedName>
    <definedName name="lists27">Lists!$AB$2</definedName>
    <definedName name="lists28">Lists!$AC$2</definedName>
    <definedName name="lists3">Lists!$N$2</definedName>
    <definedName name="lists4">Lists!$O$2</definedName>
    <definedName name="lists5">Lists!$U$2</definedName>
    <definedName name="lists6">Lists!$V$2</definedName>
    <definedName name="lists7">Lists!$I$2</definedName>
    <definedName name="lists8">Lists!$K$2</definedName>
    <definedName name="lists9">Lists!$J$2</definedName>
    <definedName name="O1L1LQ">Operator1!$BF$2</definedName>
    <definedName name="O1L2LQ">Operator1!$BG$2</definedName>
    <definedName name="O1LQ">Operator1!$BE$2</definedName>
    <definedName name="O1ST">Operator1!$U$2</definedName>
    <definedName name="O2L1LQ">Operator2!$BF$2</definedName>
    <definedName name="O2L2LQ">Operator2!$BG$2</definedName>
    <definedName name="O2LQ">Operator2!$BE$2</definedName>
    <definedName name="O2ST">Operator2!$U$2</definedName>
    <definedName name="O3L1LQ">Operator3!$BF$2</definedName>
    <definedName name="O3L2LQ">Operator3!$BG$2</definedName>
    <definedName name="O3LQ">Operator3!$BE$2</definedName>
    <definedName name="O3ST">Operator3!$U$2</definedName>
    <definedName name="O4L1LQ">Operator4!$BF$2</definedName>
    <definedName name="O4L2LQ">Operator4!$BG$2</definedName>
    <definedName name="O4LQ">Operator4!$BE$2</definedName>
    <definedName name="O4ST">Operator4!$U$2</definedName>
    <definedName name="O5L1LQ">Operator5!$BF$2</definedName>
    <definedName name="O5L2LQ">Operator5!$BG$2</definedName>
    <definedName name="O5LQ">Operator5!$BE$2</definedName>
    <definedName name="O5ST">Operator5!$U$2</definedName>
    <definedName name="sO1L1LQ">Operator1!$BF$2</definedName>
    <definedName name="sO1L2LQ">Operator1!$BG$2</definedName>
    <definedName name="sO1LQ">Operator1!$BE$2</definedName>
    <definedName name="sO1ST">Operator1!$U$2</definedName>
    <definedName name="sO2L1LQ">Operator2!$BF$2</definedName>
    <definedName name="sO2L2LQ">Operator2!$BG$2</definedName>
    <definedName name="sO2LQ">Operator2!$BE$2</definedName>
    <definedName name="sO2ST">Operator2!$U$2</definedName>
    <definedName name="sO3L1LQ">Operator3!$BF$2</definedName>
    <definedName name="sO3L2LQ">Operator3!$BG$2</definedName>
    <definedName name="sO3LQ">Operator3!$BE$2</definedName>
    <definedName name="sO3ST">Operator3!$U$2</definedName>
    <definedName name="sO4L1LQ">Operator4!$BF$2</definedName>
    <definedName name="sO4L2LQ">Operator4!$BG$2</definedName>
    <definedName name="sO4LQ">Operator4!$BE$2</definedName>
    <definedName name="sO4ST">Operator4!$U$2</definedName>
    <definedName name="sO5L1LQ">Operator5!$BF$2</definedName>
    <definedName name="sO5L2LQ">Operator5!$BG$2</definedName>
    <definedName name="sO5LQ">Operator5!$BE$2</definedName>
    <definedName name="sO5ST">Operator5!$U$2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38" i="5" l="1"/>
  <c r="L38" i="5"/>
  <c r="K38" i="5"/>
  <c r="J38" i="5"/>
  <c r="J54" i="5"/>
  <c r="J53" i="5"/>
  <c r="J51" i="5"/>
  <c r="J48" i="5" s="1"/>
  <c r="J50" i="5"/>
  <c r="J47" i="5"/>
  <c r="J46" i="5"/>
  <c r="J41" i="5" s="1"/>
  <c r="J44" i="5"/>
  <c r="J43" i="5"/>
  <c r="M28" i="5"/>
  <c r="L28" i="5"/>
  <c r="K28" i="5"/>
  <c r="J28" i="5"/>
  <c r="M21" i="5"/>
  <c r="L21" i="5"/>
  <c r="K21" i="5"/>
  <c r="J21" i="5"/>
  <c r="M14" i="5"/>
  <c r="L14" i="5"/>
  <c r="K14" i="5"/>
  <c r="J14" i="5"/>
  <c r="M7" i="5"/>
  <c r="L7" i="5"/>
  <c r="K7" i="5"/>
  <c r="J7" i="5"/>
  <c r="M54" i="5" l="1"/>
  <c r="L54" i="5"/>
  <c r="K54" i="5"/>
  <c r="M53" i="5"/>
  <c r="L53" i="5"/>
  <c r="K53" i="5"/>
  <c r="M51" i="5"/>
  <c r="L51" i="5"/>
  <c r="K51" i="5"/>
  <c r="M50" i="5"/>
  <c r="L50" i="5"/>
  <c r="L48" i="5" s="1"/>
  <c r="K50" i="5"/>
  <c r="M47" i="5"/>
  <c r="L47" i="5"/>
  <c r="K47" i="5"/>
  <c r="M46" i="5"/>
  <c r="L46" i="5"/>
  <c r="K46" i="5"/>
  <c r="M44" i="5"/>
  <c r="L44" i="5"/>
  <c r="K44" i="5"/>
  <c r="M43" i="5"/>
  <c r="M41" i="5" s="1"/>
  <c r="L43" i="5"/>
  <c r="K43" i="5"/>
  <c r="M34" i="5"/>
  <c r="L34" i="5"/>
  <c r="K34" i="5"/>
  <c r="M33" i="5"/>
  <c r="L33" i="5"/>
  <c r="K33" i="5"/>
  <c r="M31" i="5"/>
  <c r="L31" i="5"/>
  <c r="K31" i="5"/>
  <c r="M30" i="5"/>
  <c r="L30" i="5"/>
  <c r="K30" i="5"/>
  <c r="M27" i="5"/>
  <c r="L27" i="5"/>
  <c r="K27" i="5"/>
  <c r="M26" i="5"/>
  <c r="L26" i="5"/>
  <c r="K26" i="5"/>
  <c r="M24" i="5"/>
  <c r="L24" i="5"/>
  <c r="K24" i="5"/>
  <c r="M23" i="5"/>
  <c r="L23" i="5"/>
  <c r="K23" i="5"/>
  <c r="M20" i="5"/>
  <c r="L20" i="5"/>
  <c r="K20" i="5"/>
  <c r="M19" i="5"/>
  <c r="L19" i="5"/>
  <c r="K19" i="5"/>
  <c r="M17" i="5"/>
  <c r="L17" i="5"/>
  <c r="K17" i="5"/>
  <c r="M16" i="5"/>
  <c r="L16" i="5"/>
  <c r="K16" i="5"/>
  <c r="M13" i="5"/>
  <c r="L13" i="5"/>
  <c r="K13" i="5"/>
  <c r="M12" i="5"/>
  <c r="L12" i="5"/>
  <c r="K12" i="5"/>
  <c r="M10" i="5"/>
  <c r="L10" i="5"/>
  <c r="M9" i="5"/>
  <c r="L9" i="5"/>
  <c r="K10" i="5"/>
  <c r="K9" i="5"/>
  <c r="K48" i="5" l="1"/>
  <c r="M48" i="5"/>
  <c r="K41" i="5"/>
  <c r="L41" i="5"/>
  <c r="J34" i="5"/>
  <c r="J33" i="5"/>
  <c r="J31" i="5"/>
  <c r="J30" i="5"/>
  <c r="J27" i="5"/>
  <c r="J26" i="5"/>
  <c r="J24" i="5"/>
  <c r="J23" i="5"/>
  <c r="J20" i="5"/>
  <c r="J19" i="5"/>
  <c r="J17" i="5"/>
  <c r="J16" i="5"/>
  <c r="E38" i="17" l="1" a="1"/>
  <c r="E38" i="17" s="1"/>
  <c r="D38" i="17" a="1"/>
  <c r="D38" i="17" s="1"/>
  <c r="C38" i="17" a="1"/>
  <c r="C38" i="17" s="1"/>
  <c r="E18" i="17" l="1" a="1"/>
  <c r="E18" i="17" s="1"/>
  <c r="D18" i="17" a="1"/>
  <c r="D18" i="17" s="1"/>
  <c r="C18" i="17" a="1"/>
  <c r="C18" i="17" s="1"/>
  <c r="C19" i="17" l="1" a="1"/>
  <c r="C19" i="17" s="1"/>
  <c r="D19" i="17" a="1"/>
  <c r="D19" i="17" s="1"/>
  <c r="E19" i="17" a="1"/>
  <c r="E19" i="17" s="1"/>
  <c r="E22" i="17" l="1" a="1"/>
  <c r="E22" i="17" s="1"/>
  <c r="D3" i="12"/>
  <c r="D4" i="12"/>
  <c r="D5" i="12"/>
  <c r="E46" i="17" l="1" a="1"/>
  <c r="E46" i="17" s="1"/>
  <c r="E45" i="17" a="1"/>
  <c r="E45" i="17" s="1"/>
  <c r="E44" i="17" a="1"/>
  <c r="E44" i="17" s="1"/>
  <c r="E43" i="17" a="1"/>
  <c r="E43" i="17" s="1"/>
  <c r="E42" i="17" a="1"/>
  <c r="E42" i="17" s="1"/>
  <c r="E41" i="17" a="1"/>
  <c r="E41" i="17" s="1"/>
  <c r="E36" i="17" a="1"/>
  <c r="E36" i="17" s="1"/>
  <c r="E34" i="17" a="1"/>
  <c r="E34" i="17" s="1"/>
  <c r="E33" i="17" a="1"/>
  <c r="E33" i="17" s="1"/>
  <c r="E32" i="17" a="1"/>
  <c r="E32" i="17" s="1"/>
  <c r="E31" i="17" a="1"/>
  <c r="E31" i="17" s="1"/>
  <c r="E30" i="17" a="1"/>
  <c r="E30" i="17" s="1"/>
  <c r="E28" i="17" a="1"/>
  <c r="E28" i="17" s="1"/>
  <c r="E27" i="17" a="1"/>
  <c r="E27" i="17" s="1"/>
  <c r="E26" i="17" a="1"/>
  <c r="E26" i="17" s="1"/>
  <c r="E25" i="17" a="1"/>
  <c r="E25" i="17" s="1"/>
  <c r="E24" i="17" a="1"/>
  <c r="E24" i="17" s="1"/>
  <c r="E23" i="17" a="1"/>
  <c r="E23" i="17" s="1"/>
  <c r="E21" i="17" a="1"/>
  <c r="E21" i="17" s="1"/>
  <c r="E35" i="17"/>
  <c r="D46" i="17" a="1"/>
  <c r="D46" i="17" s="1"/>
  <c r="D45" i="17" a="1"/>
  <c r="D45" i="17" s="1"/>
  <c r="D44" i="17" a="1"/>
  <c r="D44" i="17" s="1"/>
  <c r="D43" i="17" a="1"/>
  <c r="D43" i="17" s="1"/>
  <c r="D42" i="17" a="1"/>
  <c r="D42" i="17" s="1"/>
  <c r="D41" i="17" a="1"/>
  <c r="D41" i="17" s="1"/>
  <c r="D36" i="17" a="1"/>
  <c r="D36" i="17" s="1"/>
  <c r="D35" i="17" a="1"/>
  <c r="D35" i="17" s="1"/>
  <c r="D34" i="17" a="1"/>
  <c r="D34" i="17" s="1"/>
  <c r="D33" i="17" a="1"/>
  <c r="D33" i="17" s="1"/>
  <c r="D32" i="17" a="1"/>
  <c r="D32" i="17" s="1"/>
  <c r="D31" i="17" a="1"/>
  <c r="D31" i="17" s="1"/>
  <c r="D30" i="17" a="1"/>
  <c r="D30" i="17" s="1"/>
  <c r="D28" i="17" a="1"/>
  <c r="D28" i="17" s="1"/>
  <c r="D27" i="17" a="1"/>
  <c r="D27" i="17" s="1"/>
  <c r="D26" i="17" a="1"/>
  <c r="D26" i="17" s="1"/>
  <c r="D25" i="17" a="1"/>
  <c r="D25" i="17" s="1"/>
  <c r="D24" i="17" a="1"/>
  <c r="D24" i="17" s="1"/>
  <c r="D23" i="17" a="1"/>
  <c r="D23" i="17" s="1"/>
  <c r="D22" i="17" a="1"/>
  <c r="D22" i="17" s="1"/>
  <c r="D21" i="17" a="1"/>
  <c r="D21" i="17" s="1"/>
  <c r="C46" i="17" a="1"/>
  <c r="C46" i="17" s="1"/>
  <c r="C45" i="17" a="1"/>
  <c r="C45" i="17" s="1"/>
  <c r="C44" i="17" a="1"/>
  <c r="C44" i="17" s="1"/>
  <c r="C43" i="17" a="1"/>
  <c r="C43" i="17" s="1"/>
  <c r="C42" i="17" a="1"/>
  <c r="C42" i="17" s="1"/>
  <c r="C41" i="17" a="1"/>
  <c r="C41" i="17" s="1"/>
  <c r="C27" i="17" a="1"/>
  <c r="C27" i="17" s="1"/>
  <c r="C36" i="17" a="1"/>
  <c r="C36" i="17" s="1"/>
  <c r="C35" i="17" a="1"/>
  <c r="C35" i="17" s="1"/>
  <c r="C34" i="17" a="1"/>
  <c r="C34" i="17" s="1"/>
  <c r="C33" i="17" a="1"/>
  <c r="C33" i="17" s="1"/>
  <c r="C32" i="17" a="1"/>
  <c r="C32" i="17" s="1"/>
  <c r="C31" i="17" a="1"/>
  <c r="C31" i="17" s="1"/>
  <c r="C30" i="17" a="1"/>
  <c r="C30" i="17" s="1"/>
  <c r="C28" i="17" a="1"/>
  <c r="C28" i="17" s="1"/>
  <c r="C26" i="17" a="1"/>
  <c r="C26" i="17" s="1"/>
  <c r="C25" i="17" a="1"/>
  <c r="C25" i="17" s="1"/>
  <c r="C24" i="17" a="1"/>
  <c r="C24" i="17" s="1"/>
  <c r="C23" i="17" a="1"/>
  <c r="C23" i="17" s="1"/>
  <c r="C22" i="17" a="1"/>
  <c r="C22" i="17" s="1"/>
  <c r="C21" i="17" a="1"/>
  <c r="C21" i="17" s="1"/>
  <c r="E29" i="17" l="1"/>
  <c r="D29" i="17"/>
  <c r="E20" i="17"/>
  <c r="E39" i="17" a="1"/>
  <c r="E39" i="17" s="1"/>
  <c r="E40" i="17" s="1"/>
  <c r="D20" i="17"/>
  <c r="D39" i="17" a="1"/>
  <c r="D39" i="17" s="1"/>
  <c r="D40" i="17" s="1"/>
  <c r="C39" i="17" a="1"/>
  <c r="C39" i="17" s="1"/>
  <c r="C40" i="17" s="1"/>
  <c r="C29" i="17"/>
  <c r="C20" i="17"/>
  <c r="B6" i="12" l="1"/>
  <c r="D6" i="12" s="1"/>
  <c r="B7" i="12"/>
  <c r="D7" i="12" s="1"/>
  <c r="N6" i="5"/>
  <c r="O6" i="5"/>
  <c r="N9" i="5"/>
  <c r="O9" i="5"/>
  <c r="N10" i="5"/>
  <c r="O10" i="5"/>
  <c r="N16" i="5"/>
  <c r="O16" i="5"/>
  <c r="N17" i="5"/>
  <c r="O17" i="5"/>
  <c r="N23" i="5"/>
  <c r="O23" i="5"/>
  <c r="N24" i="5"/>
  <c r="O24" i="5"/>
  <c r="N30" i="5"/>
  <c r="O30" i="5"/>
  <c r="N31" i="5"/>
  <c r="O31" i="5"/>
  <c r="E40" i="5"/>
  <c r="N40" i="5" s="1"/>
  <c r="F40" i="5"/>
  <c r="O40" i="5" s="1"/>
  <c r="N43" i="5"/>
  <c r="O43" i="5"/>
  <c r="N44" i="5"/>
  <c r="O44" i="5"/>
  <c r="N45" i="5"/>
  <c r="O45" i="5"/>
  <c r="O21" i="5" l="1"/>
  <c r="O46" i="5"/>
  <c r="N41" i="5"/>
  <c r="O41" i="5"/>
  <c r="N46" i="5"/>
  <c r="N21" i="5"/>
  <c r="N14" i="5"/>
  <c r="J4" i="5"/>
  <c r="N28" i="5"/>
  <c r="O28" i="5"/>
  <c r="O14" i="5"/>
  <c r="N7" i="5"/>
  <c r="O7" i="5"/>
  <c r="N38" i="5" l="1"/>
  <c r="O38" i="5"/>
  <c r="M4" i="5"/>
  <c r="L4" i="5"/>
  <c r="N4" i="5"/>
  <c r="O4" i="5"/>
  <c r="K4" i="5"/>
</calcChain>
</file>

<file path=xl/sharedStrings.xml><?xml version="1.0" encoding="utf-8"?>
<sst xmlns="http://schemas.openxmlformats.org/spreadsheetml/2006/main" count="1515" uniqueCount="366">
  <si>
    <t>-</t>
  </si>
  <si>
    <t>Average MOS measured after POLQA speech Quality evaluation  in calls successfully completed in VoLTE.</t>
  </si>
  <si>
    <t>Downlink / Uplink</t>
  </si>
  <si>
    <t>[MOS]</t>
  </si>
  <si>
    <t>avgL2vMOS</t>
  </si>
  <si>
    <t>AVG MOS</t>
  </si>
  <si>
    <t xml:space="preserve">POLQA MOS  value bellow which 90% of measured samples in sorted array of MOS-s  in calls successfully started in VoLTE. Bellow 90 PCTL MOS value 90 % of measured MOS-s may be observed. </t>
  </si>
  <si>
    <t>90pL1vMOS</t>
  </si>
  <si>
    <t>MOS 90 PCTL</t>
  </si>
  <si>
    <t xml:space="preserve">POLQA MOS  value bellow which 50% of measured samples in sorted array of MOS-s  in calls successfully started in VoLTE. Bellow 50 PCTL MOS value 50 % of measured MOS-s may be observed. </t>
  </si>
  <si>
    <t>50pL1vMOS</t>
  </si>
  <si>
    <t>Median MOS</t>
  </si>
  <si>
    <t xml:space="preserve">POLQA MOS  value bellow which 10% of measured samples in sorted array of MOS-s  in calls successfully started in VoLTE. Bellow 10 PCTL MOS value 10 % of measured MOS-s may be observed. </t>
  </si>
  <si>
    <t>10pL1vMOS</t>
  </si>
  <si>
    <t>MOS 10 PCTL</t>
  </si>
  <si>
    <t>Maximum MOS measured after POLQA speech Quality evaluation  in calls successfully started in VoLTE.</t>
  </si>
  <si>
    <t>maxL1vMOS</t>
  </si>
  <si>
    <t>MAX MOS</t>
  </si>
  <si>
    <t>Average MOS measured after POLQA speech Quality evaluation  in calls successfully started in VoLTE.</t>
  </si>
  <si>
    <t>avgL1vMOS</t>
  </si>
  <si>
    <t>Lowest MOS measured after POLQA speech Quality evaluation  in calls successfully started in VoLTE.</t>
  </si>
  <si>
    <t>minL1vMOS</t>
  </si>
  <si>
    <t>MIN MOS</t>
  </si>
  <si>
    <t>MOS &lt;= 1.6 RATIO is a fraction of the POLQA test  in calls successfully started in VoLTE which resulted with measured MOS value bellow or equal 1.6 s in regard to all POLQA Tests  in calls successfully started in VoLTE. This fraction is usually measured as a percentage of all calls.</t>
  </si>
  <si>
    <t>[#]</t>
  </si>
  <si>
    <t>crL1vMOS</t>
  </si>
  <si>
    <t>MOS &lt;= 1.6 RATIO</t>
  </si>
  <si>
    <t>Number of POLQA Tests resulted with measured MOS value less or equal to 1.6  in calls successfully started in VoLTE .</t>
  </si>
  <si>
    <t>cpL1vMOS</t>
  </si>
  <si>
    <t>MOS &lt;= 1.6 COUNT</t>
  </si>
  <si>
    <t>Number of all valid POLQA Tests in calls successfully started in VoLTE. Absolute number of all POLQA speech quality tests  in calls successfully started in VoLTE.</t>
  </si>
  <si>
    <t>cL1vMOS</t>
  </si>
  <si>
    <t>POLQA Samples Count</t>
  </si>
  <si>
    <t xml:space="preserve">POLQA MOS  value bellow which 90% of measured samples in sorted array of MOS-s in successfully connected calls. Bellow 90 PCTL MOS value 90 % of measured MOS-s may be observed. </t>
  </si>
  <si>
    <t>90pMOS</t>
  </si>
  <si>
    <t xml:space="preserve">POLQA MOS  value bellow which 50% of measured samples in sorted array of MOS-s in successfully connected calls. Bellow 50 PCTL MOS value 50 % of measured MOS-s may be observed. </t>
  </si>
  <si>
    <t>50pMOS</t>
  </si>
  <si>
    <t xml:space="preserve">POLQA MOS  value bellow which 10% of measured samples in sorted array of MOS-s in successfully connected calls. Bellow 10 PCTL MOS value 10 % of measured MOS-s may be observed. </t>
  </si>
  <si>
    <t>10pMOS</t>
  </si>
  <si>
    <t>Maximum MOS measured after POLQA speech Quality evaluation.</t>
  </si>
  <si>
    <t>maxMOS</t>
  </si>
  <si>
    <t>Average MOS measured after POLQA speech Quality evaluation.</t>
  </si>
  <si>
    <t>avgMOS</t>
  </si>
  <si>
    <t>Lowest MOS measured after POLQA speech Quality evaluation.</t>
  </si>
  <si>
    <t>minMOS</t>
  </si>
  <si>
    <t>MOS &lt;= 1.6 RATIO is a fraction of the POLQA test which resulted with measured MOS value bellow or equal 1.6 s in regard to all POLQA Tests. This fraction is usually measured as a percentage of all calls.</t>
  </si>
  <si>
    <t>crMOS</t>
  </si>
  <si>
    <t>Number of POLQA Tests resulted with measured MOS value less or equal to 1.6 .</t>
  </si>
  <si>
    <t>cpMOS</t>
  </si>
  <si>
    <t>Number of all valid POLQA Tests. Absolute number of all POLQA speech quality tests.</t>
  </si>
  <si>
    <t>cMOS</t>
  </si>
  <si>
    <t>Stop Trigger Event</t>
  </si>
  <si>
    <t>Start Trigger Event</t>
  </si>
  <si>
    <t>Abstract Equation</t>
  </si>
  <si>
    <t>Definition</t>
  </si>
  <si>
    <t>Direction</t>
  </si>
  <si>
    <t>Unit</t>
  </si>
  <si>
    <t>Abbrev.</t>
  </si>
  <si>
    <t>KPI Name</t>
  </si>
  <si>
    <t>Call Success KPI-s</t>
  </si>
  <si>
    <t>D</t>
  </si>
  <si>
    <t>Defintion Key Performance Indicator</t>
  </si>
  <si>
    <t>Speech Quality POLQA - Bad Speech Ratio</t>
  </si>
  <si>
    <t>Speech Quality POLQA - Average MOS</t>
  </si>
  <si>
    <t>WalkCity</t>
  </si>
  <si>
    <t>DriveCity</t>
  </si>
  <si>
    <t>MAX Ranking Points</t>
  </si>
  <si>
    <t>High Threshold</t>
  </si>
  <si>
    <t>Low Threshold</t>
  </si>
  <si>
    <t>RANKING POINTS</t>
  </si>
  <si>
    <t>Ranking Parameters</t>
  </si>
  <si>
    <t>Ranking KPI-s</t>
  </si>
  <si>
    <t>WalkTrain</t>
  </si>
  <si>
    <t>DriveConnectingRoads</t>
  </si>
  <si>
    <t>Operator 5</t>
  </si>
  <si>
    <t>Operator 4</t>
  </si>
  <si>
    <t>BEST Network Overall</t>
  </si>
  <si>
    <t>Vendor</t>
  </si>
  <si>
    <t>Region</t>
  </si>
  <si>
    <t>Recording_Latitude</t>
  </si>
  <si>
    <t>Recording_Longitude</t>
  </si>
  <si>
    <t>Recording_Speed_kmh</t>
  </si>
  <si>
    <t>Recording_Handovers</t>
  </si>
  <si>
    <t>Recording_MaxTxPwr4G</t>
  </si>
  <si>
    <t>Recording_AvgTxPwr4G</t>
  </si>
  <si>
    <t>Recording_MinTxPwr4G</t>
  </si>
  <si>
    <t>Recording_MaxSINR</t>
  </si>
  <si>
    <t>Recording_AvgSINR</t>
  </si>
  <si>
    <t>Recording_MinSINR</t>
  </si>
  <si>
    <t>Recording_MaxRSRQ</t>
  </si>
  <si>
    <t>Recording_AvgRSRQ</t>
  </si>
  <si>
    <t>Recording_MinRSRQ</t>
  </si>
  <si>
    <t>Recording_MaxRSRP</t>
  </si>
  <si>
    <t>Recording_AvgRSRP</t>
  </si>
  <si>
    <t>Recording_MinRSRP</t>
  </si>
  <si>
    <t>Recording_MaxTxPwr3G</t>
  </si>
  <si>
    <t>Recording_AvgTxPwr3G</t>
  </si>
  <si>
    <t>Recording_MinTxPwr3G</t>
  </si>
  <si>
    <t>Recording_MaxEcIo</t>
  </si>
  <si>
    <t>Recording_AvgEcIo</t>
  </si>
  <si>
    <t>Recording_MinEcIo</t>
  </si>
  <si>
    <t>Recording_MaxRSCP</t>
  </si>
  <si>
    <t>Recording_AvgRSCP</t>
  </si>
  <si>
    <t>Recording_MinRSCP</t>
  </si>
  <si>
    <t>Recording_MaxRxQual</t>
  </si>
  <si>
    <t>Recording_AvgRxQual</t>
  </si>
  <si>
    <t>Recording_MinRxQual</t>
  </si>
  <si>
    <t>Recording_MaxRxLev</t>
  </si>
  <si>
    <t>Recording_AvgRxLev</t>
  </si>
  <si>
    <t>Recording_MinRxLev</t>
  </si>
  <si>
    <t>Recording_EVS_128_ms</t>
  </si>
  <si>
    <t>Recording_EVS_96_ms</t>
  </si>
  <si>
    <t>Recording_EVS_64_ms</t>
  </si>
  <si>
    <t>Recording_EVS_48_ms</t>
  </si>
  <si>
    <t>Recording_EVS_32_ms</t>
  </si>
  <si>
    <t>Recording_EVS_24.4_ms</t>
  </si>
  <si>
    <t>Recording_EVS_16.4_ms</t>
  </si>
  <si>
    <t>Recording_EVS_13.2_ms</t>
  </si>
  <si>
    <t>Recording_EVS_9.6_ms</t>
  </si>
  <si>
    <t>Recording_EVS_8_ms</t>
  </si>
  <si>
    <t>Recording_EVS_7.2_ms</t>
  </si>
  <si>
    <t>Recording_EVS_5.9_ms</t>
  </si>
  <si>
    <t>Recording_AMR_WB_23.85_ms</t>
  </si>
  <si>
    <t>Recording_AMR_WB_23.05_ms</t>
  </si>
  <si>
    <t>Recording_AMR_WB_19.85_ms</t>
  </si>
  <si>
    <t>Recording_AMR_WB_18.25_ms</t>
  </si>
  <si>
    <t>Recording_AMR_WB_15.85_ms</t>
  </si>
  <si>
    <t>Recording_AMR_WB_14.25_ms</t>
  </si>
  <si>
    <t>Recording_AMR_WB_12.65_ms</t>
  </si>
  <si>
    <t>Recording_AMR_WB_8.85_ms</t>
  </si>
  <si>
    <t>Recording_AMR_WB_6.6_ms</t>
  </si>
  <si>
    <t>Recording_AMR_NB_12.2_ms</t>
  </si>
  <si>
    <t>Recording_AMR_NB_10.2_ms</t>
  </si>
  <si>
    <t>Recording_AMR_NB_7.95_ms</t>
  </si>
  <si>
    <t>Recording_AMR_NB_7.4_ms</t>
  </si>
  <si>
    <t>Recording_AMR_NB_6.7_ms</t>
  </si>
  <si>
    <t>Recording_AMR_NB_5.9_ms</t>
  </si>
  <si>
    <t>Recording_AMR_NB_5.15_ms</t>
  </si>
  <si>
    <t>Recording_AMR_NB_4.75_ms</t>
  </si>
  <si>
    <t>Recording_AMR_NB_1.8_ms</t>
  </si>
  <si>
    <t>Recording_EVS_ms</t>
  </si>
  <si>
    <t>Recording_AMR_WB_ms</t>
  </si>
  <si>
    <t>Recording_AMR_NB_ms</t>
  </si>
  <si>
    <t>Recording Codec Detailed</t>
  </si>
  <si>
    <t>Recording Codec</t>
  </si>
  <si>
    <t>Recording Technology Detailed</t>
  </si>
  <si>
    <t>Recording Technology</t>
  </si>
  <si>
    <t>Playing_Latitude</t>
  </si>
  <si>
    <t>Playing_Longitude</t>
  </si>
  <si>
    <t>Playing_Speed_kmh</t>
  </si>
  <si>
    <t>Playing_Handovers</t>
  </si>
  <si>
    <t>Playing_MaxTxPwr4G</t>
  </si>
  <si>
    <t>Playing_AvgTxPwr4G</t>
  </si>
  <si>
    <t>Playing_MinTxPwr4G</t>
  </si>
  <si>
    <t>Playing_MaxSINR</t>
  </si>
  <si>
    <t>Playing_AvgSINR</t>
  </si>
  <si>
    <t>Playing_MinSINR</t>
  </si>
  <si>
    <t>Playing_MaxRSRQ</t>
  </si>
  <si>
    <t>Playing_AvgRSRQ</t>
  </si>
  <si>
    <t>Playing_MinRSRQ</t>
  </si>
  <si>
    <t>Playing_MaxRSRP</t>
  </si>
  <si>
    <t>Playing_AvgRSRP</t>
  </si>
  <si>
    <t>Playing_MinRSRP</t>
  </si>
  <si>
    <t>Playing_MaxTxPwr3G</t>
  </si>
  <si>
    <t>Playing_AvgTxPwr3G</t>
  </si>
  <si>
    <t>Playing_MinTxPwr3G</t>
  </si>
  <si>
    <t>Playing_MaxEcIo</t>
  </si>
  <si>
    <t>Playing_AvgEcIo</t>
  </si>
  <si>
    <t>Playing_MinEcIo</t>
  </si>
  <si>
    <t>Playing_MaxRSCP</t>
  </si>
  <si>
    <t>Playing_AvgRSCP</t>
  </si>
  <si>
    <t>Playing_MinRSCP</t>
  </si>
  <si>
    <t>Playing_MaxRxQual</t>
  </si>
  <si>
    <t>Playing_AvgRxQual</t>
  </si>
  <si>
    <t>Playing_MinRxQual</t>
  </si>
  <si>
    <t>Playing_MaxRxLev</t>
  </si>
  <si>
    <t>Playing_AvgRxLev</t>
  </si>
  <si>
    <t>Playing_MinRxLev</t>
  </si>
  <si>
    <t>Playing_EVS_128_ms</t>
  </si>
  <si>
    <t>Playing_EVS_96_ms</t>
  </si>
  <si>
    <t>Playing_EVS_64_ms</t>
  </si>
  <si>
    <t>Playing_EVS_48_ms</t>
  </si>
  <si>
    <t>Playing_EVS_32_ms</t>
  </si>
  <si>
    <t>Playing_EVS_24.4_ms</t>
  </si>
  <si>
    <t>Playing_EVS_16.4_ms</t>
  </si>
  <si>
    <t>Playing_EVS_13.2_ms</t>
  </si>
  <si>
    <t>Playing_EVS_9.6_ms</t>
  </si>
  <si>
    <t>Playing_EVS_8_ms</t>
  </si>
  <si>
    <t>Playing_EVS_7.2_ms</t>
  </si>
  <si>
    <t>Playing_EVS_5.9_ms</t>
  </si>
  <si>
    <t>Playing_AMR_WB_23.85_ms</t>
  </si>
  <si>
    <t>Playing_AMR_WB_23.05_ms</t>
  </si>
  <si>
    <t>Playing_AMR_WB_19.85_ms</t>
  </si>
  <si>
    <t>Playing_AMR_WB_18.25_ms</t>
  </si>
  <si>
    <t>Playing_AMR_WB_15.85_ms</t>
  </si>
  <si>
    <t>Playing_AMR_WB_14.25_ms</t>
  </si>
  <si>
    <t>Playing_AMR_WB_12.65_ms</t>
  </si>
  <si>
    <t>Playing_AMR_WB_8.85_ms</t>
  </si>
  <si>
    <t>Playing_AMR_WB_6.6_ms</t>
  </si>
  <si>
    <t>Playing_AMR_NB_12.2_ms</t>
  </si>
  <si>
    <t>Playing_AMR_NB_10.2_ms</t>
  </si>
  <si>
    <t>Playing_AMR_NB_7.95_ms</t>
  </si>
  <si>
    <t>Playing_AMR_NB_7.4_ms</t>
  </si>
  <si>
    <t>Playing_AMR_NB_6.7_ms</t>
  </si>
  <si>
    <t>Playing_AMR_NB_5.9_ms</t>
  </si>
  <si>
    <t>Playing_AMR_NB_5.15_ms</t>
  </si>
  <si>
    <t>Playing_AMR_NB_4.75_ms</t>
  </si>
  <si>
    <t>Playing_AMR_NB_1.8_ms</t>
  </si>
  <si>
    <t>Playing_EVS_ms</t>
  </si>
  <si>
    <t>Playing_AMR_WB_ms</t>
  </si>
  <si>
    <t>Playing_AMR_NB_ms</t>
  </si>
  <si>
    <t>Playing_Codec_Detailed</t>
  </si>
  <si>
    <t>Playing_Codec</t>
  </si>
  <si>
    <t>Playing_Technology_Detailed</t>
  </si>
  <si>
    <t>Playing_Technology</t>
  </si>
  <si>
    <t>Resampling</t>
  </si>
  <si>
    <t>BW</t>
  </si>
  <si>
    <t>WideBand</t>
  </si>
  <si>
    <t>ErrCode</t>
  </si>
  <si>
    <t>UpperFilterLimit</t>
  </si>
  <si>
    <t>LowerFilterLimit</t>
  </si>
  <si>
    <t>MissedVoice</t>
  </si>
  <si>
    <t>AmplClipping</t>
  </si>
  <si>
    <t>ReceiveDelay</t>
  </si>
  <si>
    <t>appl</t>
  </si>
  <si>
    <t>staticSNR</t>
  </si>
  <si>
    <t>noiseRcv</t>
  </si>
  <si>
    <t>activityRcvP56</t>
  </si>
  <si>
    <t>aSLrcvP56</t>
  </si>
  <si>
    <t>delayDeviation</t>
  </si>
  <si>
    <t>codedLevel</t>
  </si>
  <si>
    <t>delaySpread</t>
  </si>
  <si>
    <t>codedDcOffset</t>
  </si>
  <si>
    <t>refDCOffset</t>
  </si>
  <si>
    <t>negFreqShift</t>
  </si>
  <si>
    <t>posFreqShift</t>
  </si>
  <si>
    <t>timeClipping</t>
  </si>
  <si>
    <t>LQCat</t>
  </si>
  <si>
    <t>qualityCode</t>
  </si>
  <si>
    <t>L2_VoLTE_Call_Mode_LQ</t>
  </si>
  <si>
    <t>L1_VoLTE_Call_Mode_LQ</t>
  </si>
  <si>
    <t>LQ</t>
  </si>
  <si>
    <t>TestEnd</t>
  </si>
  <si>
    <t>TestStart</t>
  </si>
  <si>
    <t>SpeedAvg</t>
  </si>
  <si>
    <t>direction</t>
  </si>
  <si>
    <t>TestId</t>
  </si>
  <si>
    <t>MSISDN_B</t>
  </si>
  <si>
    <t>IMSI_B</t>
  </si>
  <si>
    <t>IMEI_B</t>
  </si>
  <si>
    <t>FW_B</t>
  </si>
  <si>
    <t>UE_B</t>
  </si>
  <si>
    <t>MSISDN_A</t>
  </si>
  <si>
    <t>IMSI_A</t>
  </si>
  <si>
    <t>IMEI_A</t>
  </si>
  <si>
    <t>FW_A</t>
  </si>
  <si>
    <t>UE_A</t>
  </si>
  <si>
    <t>WagonRepeter</t>
  </si>
  <si>
    <t>WagonNumber</t>
  </si>
  <si>
    <t>Fleet</t>
  </si>
  <si>
    <t>TrainType</t>
  </si>
  <si>
    <t>G_Level_5</t>
  </si>
  <si>
    <t>G_Level_4</t>
  </si>
  <si>
    <t>G_Level_3</t>
  </si>
  <si>
    <t>G_Level_2</t>
  </si>
  <si>
    <t>G_Level_1</t>
  </si>
  <si>
    <t>Hour</t>
  </si>
  <si>
    <t>Day</t>
  </si>
  <si>
    <t>Month</t>
  </si>
  <si>
    <t>Week</t>
  </si>
  <si>
    <t>Year</t>
  </si>
  <si>
    <t>L2_callMode_B</t>
  </si>
  <si>
    <t>L1_callMode_B</t>
  </si>
  <si>
    <t>L2_callMode_A</t>
  </si>
  <si>
    <t>L1_callMode_A</t>
  </si>
  <si>
    <t>DialedNumber</t>
  </si>
  <si>
    <t>Call_Direction</t>
  </si>
  <si>
    <t>Session_Type</t>
  </si>
  <si>
    <t>Operator</t>
  </si>
  <si>
    <t>Channel_Description_B</t>
  </si>
  <si>
    <t>Channel_B</t>
  </si>
  <si>
    <t>System_Software_B</t>
  </si>
  <si>
    <t>System_B</t>
  </si>
  <si>
    <t>Channel_Description_A</t>
  </si>
  <si>
    <t>Channel_A</t>
  </si>
  <si>
    <t>System_Software_A</t>
  </si>
  <si>
    <t>System_A</t>
  </si>
  <si>
    <t>Call_End_Time</t>
  </si>
  <si>
    <t>Call_Start_Time</t>
  </si>
  <si>
    <t>Call_Status</t>
  </si>
  <si>
    <t>Sequenz_ID_per_File_A</t>
  </si>
  <si>
    <t>SessionId_B</t>
  </si>
  <si>
    <t>SessionID_A</t>
  </si>
  <si>
    <t>FileId_B</t>
  </si>
  <si>
    <t>FileID_A</t>
  </si>
  <si>
    <t>File_Name_B</t>
  </si>
  <si>
    <t>File_Name_A</t>
  </si>
  <si>
    <t>Campaign</t>
  </si>
  <si>
    <t>All</t>
  </si>
  <si>
    <t>Vendor_A</t>
  </si>
  <si>
    <t>Region_A</t>
  </si>
  <si>
    <t>G_Level_5_A</t>
  </si>
  <si>
    <t>G_Level_4_A</t>
  </si>
  <si>
    <t>G_Level_3_A</t>
  </si>
  <si>
    <t>G_Level_2_A</t>
  </si>
  <si>
    <t>G_Level_1_A</t>
  </si>
  <si>
    <t>rnk</t>
  </si>
  <si>
    <t>Operator 3</t>
  </si>
  <si>
    <t>Operator 2</t>
  </si>
  <si>
    <t>Operator 1</t>
  </si>
  <si>
    <t>Font Color B</t>
  </si>
  <si>
    <t>Font Color G</t>
  </si>
  <si>
    <t>Font Color R</t>
  </si>
  <si>
    <t>Background Color B</t>
  </si>
  <si>
    <t>Background Color G</t>
  </si>
  <si>
    <t>Background Color R</t>
  </si>
  <si>
    <t>ColorPreview</t>
  </si>
  <si>
    <t>Visible</t>
  </si>
  <si>
    <t>Name</t>
  </si>
  <si>
    <t>Operators List</t>
  </si>
  <si>
    <t>Avg MOS (VoLTE to VoLTE L2)</t>
  </si>
  <si>
    <t>MOS 90 PCTL (VoLTE to VoLTE L1)</t>
  </si>
  <si>
    <t>Median MOS (VoLTE to VoLTE L1)</t>
  </si>
  <si>
    <t>MOS 10 PCTL (VoLTE to VoLTE L1)</t>
  </si>
  <si>
    <t>MAX MOS (VoLTE to VoLTE L1)</t>
  </si>
  <si>
    <t>Avg MOS (VoLTE to VoLTE L1)</t>
  </si>
  <si>
    <t>MIN MOS (VoLTE to VoLTE L1)</t>
  </si>
  <si>
    <t>POLQA Samples Count (VoLTE to VoLTE L1)</t>
  </si>
  <si>
    <t>POLQA 90 PCTL MOS</t>
  </si>
  <si>
    <t>POLQA Median MOS</t>
  </si>
  <si>
    <t>POLQA 10 PCTL MOS</t>
  </si>
  <si>
    <t>POLQA MAX MOS</t>
  </si>
  <si>
    <t>POLQA AVG MOS</t>
  </si>
  <si>
    <t>POLQA MIN MOS</t>
  </si>
  <si>
    <t>Key Performance Indicators</t>
  </si>
  <si>
    <t xml:space="preserve">IMSI_B   </t>
  </si>
  <si>
    <t xml:space="preserve">IMEI_B   </t>
  </si>
  <si>
    <t xml:space="preserve">UE_B     </t>
  </si>
  <si>
    <t xml:space="preserve">System_B </t>
  </si>
  <si>
    <t>Filtered</t>
  </si>
  <si>
    <t xml:space="preserve">IMSI_A   </t>
  </si>
  <si>
    <t xml:space="preserve">IMEI_A   </t>
  </si>
  <si>
    <t xml:space="preserve">UE_A     </t>
  </si>
  <si>
    <t xml:space="preserve">System_A </t>
  </si>
  <si>
    <t>Color Marker</t>
  </si>
  <si>
    <t>L2 Call Mode B</t>
  </si>
  <si>
    <t>L1 Call Mode B</t>
  </si>
  <si>
    <t>L2 Call Mode A</t>
  </si>
  <si>
    <t>L1 Call Mode A</t>
  </si>
  <si>
    <t>DIALED NUMBER</t>
  </si>
  <si>
    <t>CALL STATUS</t>
  </si>
  <si>
    <t>Vodafone</t>
  </si>
  <si>
    <t>Berlin</t>
  </si>
  <si>
    <t>MOS &lt;= 1.6 COUNT (VoLTE to VoLTE L1)</t>
  </si>
  <si>
    <t>MOS &lt;= 1.6 RATIO (VoLTE to VoLTE L1)</t>
  </si>
  <si>
    <t>Classic Call</t>
  </si>
  <si>
    <t>WhatsApp Call</t>
  </si>
  <si>
    <t>Telekom</t>
  </si>
  <si>
    <t>Telefonica</t>
  </si>
  <si>
    <t>CLASSIC CALLS POLQA SAMPLES</t>
  </si>
  <si>
    <t>WHATSAPP CALLS POLQA SAMPLES</t>
  </si>
  <si>
    <t>Medium Threshold</t>
  </si>
  <si>
    <t>BEST Network In City (CITY = A39)</t>
  </si>
  <si>
    <t>Operator1</t>
  </si>
  <si>
    <t>Operator2</t>
  </si>
  <si>
    <t>Operator3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</si>
</sst>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"/>
    <numFmt numFmtId="165" formatCode="0.000%"/>
    <numFmt numFmtId="166" formatCode="dd/mm/yyyy\ hh:mm:ss.000"/>
    <numFmt numFmtId="167" formatCode="0.0"/>
    <numFmt numFmtId="168" formatCode="0.00&quot; [MOS]&quot;"/>
    <numFmt numFmtId="169" formatCode="0.000\ %"/>
    <numFmt numFmtId="170" formatCode="0.000&quot; [MOS]&quot;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40"/>
      <color theme="0"/>
      <name val="Calibri"/>
      <family val="2"/>
    </font>
    <font>
      <sz val="1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i/>
      <sz val="14"/>
      <name val="Calibri"/>
      <family val="2"/>
      <scheme val="minor"/>
    </font>
    <font>
      <b/>
      <sz val="18"/>
      <color theme="4" tint="-0.249977111117893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name val="Calibri"/>
      <family val="2"/>
      <scheme val="minor"/>
    </font>
    <font>
      <b/>
      <sz val="20"/>
      <color theme="0"/>
      <name val="Trebuchet MS"/>
      <family val="2"/>
    </font>
    <font>
      <b/>
      <sz val="20"/>
      <color rgb="FFFF0000"/>
      <name val="Trebuchet MS"/>
      <family val="2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rgb="FF000000"/>
      <name val="Trebuchet MS"/>
      <family val="2"/>
    </font>
    <font>
      <b/>
      <sz val="14"/>
      <color theme="0"/>
      <name val="Trebuchet MS"/>
      <family val="2"/>
    </font>
    <font>
      <b/>
      <sz val="16"/>
      <color rgb="FF000000"/>
      <name val="Trebuchet MS"/>
      <family val="2"/>
    </font>
    <font>
      <b/>
      <sz val="16"/>
      <color theme="0"/>
      <name val="Trebuchet MS"/>
      <family val="2"/>
    </font>
    <font>
      <b/>
      <sz val="20"/>
      <color rgb="FFFFFFFF"/>
      <name val="Trebuchet MS"/>
      <family val="2"/>
    </font>
    <font>
      <b/>
      <sz val="16"/>
      <color theme="3" tint="0.39997558519241921"/>
      <name val="Verdana"/>
      <family val="2"/>
    </font>
    <font>
      <b/>
      <sz val="16"/>
      <color rgb="FFFFFFFF"/>
      <name val="Trebuchet MS"/>
      <family val="2"/>
    </font>
    <font>
      <b/>
      <sz val="10"/>
      <color rgb="FF000000"/>
      <name val="Trebuchet MS"/>
      <family val="2"/>
    </font>
    <font>
      <b/>
      <sz val="14"/>
      <color rgb="FF000000"/>
      <name val="Trebuchet MS"/>
      <family val="2"/>
    </font>
    <font>
      <b/>
      <sz val="14"/>
      <color theme="5" tint="0.59999389629810485"/>
      <name val="Trebuchet MS"/>
      <family val="2"/>
    </font>
    <font>
      <b/>
      <sz val="10"/>
      <color theme="5" tint="0.59999389629810485"/>
      <name val="Trebuchet MS"/>
      <family val="2"/>
    </font>
    <font>
      <b/>
      <sz val="14"/>
      <color theme="6" tint="0.59999389629810485"/>
      <name val="Trebuchet MS"/>
      <family val="2"/>
    </font>
    <font>
      <b/>
      <sz val="10"/>
      <color theme="6" tint="0.59999389629810485"/>
      <name val="Trebuchet MS"/>
      <family val="2"/>
    </font>
    <font>
      <b/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4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i/>
      <sz val="14"/>
      <color rgb="FF7030A0"/>
      <name val="Calibri"/>
      <family val="2"/>
      <scheme val="minor"/>
    </font>
    <font>
      <b/>
      <sz val="18"/>
      <color rgb="FF7030A0"/>
      <name val="Calibri"/>
      <family val="2"/>
      <scheme val="minor"/>
    </font>
    <font>
      <b/>
      <sz val="16"/>
      <color rgb="FFFFFFFF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1F4B7D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2D69A"/>
        <bgColor indexed="64"/>
      </patternFill>
    </fill>
    <fill>
      <patternFill patternType="solid">
        <fgColor rgb="FFE6B9B8"/>
        <bgColor indexed="64"/>
      </patternFill>
    </fill>
    <fill>
      <patternFill patternType="darkTrellis">
        <bgColor rgb="FF1F4B7D"/>
      </patternFill>
    </fill>
    <fill>
      <patternFill patternType="solid">
        <fgColor rgb="FF93CDDD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6609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5091"/>
        <bgColor indexed="64"/>
      </patternFill>
    </fill>
    <fill>
      <patternFill patternType="darkTrellis">
        <bgColor rgb="FF366092"/>
      </patternFill>
    </fill>
    <fill>
      <patternFill patternType="solid">
        <fgColor rgb="FFDA291C"/>
        <bgColor indexed="64"/>
      </patternFill>
    </fill>
    <fill>
      <patternFill patternType="solid">
        <fgColor rgb="FFE20074"/>
        <bgColor indexed="64"/>
      </patternFill>
    </fill>
    <fill>
      <patternFill patternType="solid">
        <fgColor rgb="FF014268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454">
    <xf numFmtId="0" fontId="0" fillId="0" borderId="0" xfId="0"/>
    <xf numFmtId="0" fontId="0" fillId="0" borderId="0" xfId="0" applyAlignment="1">
      <alignment wrapText="1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" xfId="0" quotePrefix="1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 wrapText="1"/>
    </xf>
    <xf numFmtId="0" fontId="5" fillId="4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/>
    </xf>
    <xf numFmtId="0" fontId="6" fillId="5" borderId="5" xfId="0" applyFont="1" applyFill="1" applyBorder="1" applyAlignment="1">
      <alignment horizontal="left" vertical="center"/>
    </xf>
    <xf numFmtId="0" fontId="5" fillId="0" borderId="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7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left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5" borderId="9" xfId="0" applyFont="1" applyFill="1" applyBorder="1" applyAlignment="1">
      <alignment horizontal="left" vertical="center"/>
    </xf>
    <xf numFmtId="0" fontId="5" fillId="0" borderId="10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1" xfId="0" quotePrefix="1" applyFont="1" applyBorder="1" applyAlignment="1">
      <alignment horizontal="center" vertical="center"/>
    </xf>
    <xf numFmtId="0" fontId="5" fillId="0" borderId="12" xfId="0" applyFont="1" applyBorder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5" borderId="14" xfId="0" applyFont="1" applyFill="1" applyBorder="1" applyAlignment="1">
      <alignment horizontal="left" vertical="center"/>
    </xf>
    <xf numFmtId="0" fontId="5" fillId="0" borderId="11" xfId="0" applyFont="1" applyBorder="1" applyAlignment="1">
      <alignment horizontal="left" vertical="center" wrapText="1"/>
    </xf>
    <xf numFmtId="0" fontId="6" fillId="5" borderId="15" xfId="0" applyFont="1" applyFill="1" applyBorder="1" applyAlignment="1">
      <alignment horizontal="left" vertical="center"/>
    </xf>
    <xf numFmtId="0" fontId="5" fillId="0" borderId="16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7" xfId="0" quotePrefix="1" applyFont="1" applyBorder="1" applyAlignment="1">
      <alignment horizontal="center" vertical="center"/>
    </xf>
    <xf numFmtId="0" fontId="5" fillId="0" borderId="17" xfId="0" applyFont="1" applyBorder="1" applyAlignment="1">
      <alignment horizontal="left" vertical="center" wrapText="1"/>
    </xf>
    <xf numFmtId="0" fontId="5" fillId="4" borderId="17" xfId="0" applyFont="1" applyFill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/>
    </xf>
    <xf numFmtId="0" fontId="6" fillId="5" borderId="18" xfId="0" applyFont="1" applyFill="1" applyBorder="1" applyAlignment="1">
      <alignment horizontal="left" vertical="center"/>
    </xf>
    <xf numFmtId="0" fontId="0" fillId="0" borderId="0" xfId="0" applyBorder="1"/>
    <xf numFmtId="0" fontId="0" fillId="0" borderId="19" xfId="0" applyBorder="1"/>
    <xf numFmtId="0" fontId="0" fillId="0" borderId="0" xfId="0" applyFill="1"/>
    <xf numFmtId="0" fontId="0" fillId="0" borderId="0" xfId="0" applyFill="1" applyBorder="1"/>
    <xf numFmtId="0" fontId="7" fillId="4" borderId="20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 wrapText="1"/>
    </xf>
    <xf numFmtId="0" fontId="7" fillId="4" borderId="0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0" fillId="0" borderId="19" xfId="0" applyFont="1" applyFill="1" applyBorder="1"/>
    <xf numFmtId="0" fontId="0" fillId="0" borderId="0" xfId="0" applyBorder="1" applyAlignment="1">
      <alignment wrapText="1"/>
    </xf>
    <xf numFmtId="0" fontId="4" fillId="4" borderId="19" xfId="0" applyFont="1" applyFill="1" applyBorder="1"/>
    <xf numFmtId="0" fontId="10" fillId="0" borderId="0" xfId="0" applyFont="1"/>
    <xf numFmtId="0" fontId="0" fillId="0" borderId="0" xfId="0" applyAlignment="1">
      <alignment horizontal="center"/>
    </xf>
    <xf numFmtId="164" fontId="11" fillId="8" borderId="29" xfId="0" applyNumberFormat="1" applyFont="1" applyFill="1" applyBorder="1" applyAlignment="1">
      <alignment horizontal="center"/>
    </xf>
    <xf numFmtId="164" fontId="11" fillId="8" borderId="34" xfId="0" applyNumberFormat="1" applyFont="1" applyFill="1" applyBorder="1" applyAlignment="1">
      <alignment horizontal="center"/>
    </xf>
    <xf numFmtId="164" fontId="11" fillId="9" borderId="48" xfId="0" applyNumberFormat="1" applyFont="1" applyFill="1" applyBorder="1" applyAlignment="1">
      <alignment horizontal="center"/>
    </xf>
    <xf numFmtId="164" fontId="11" fillId="9" borderId="49" xfId="0" applyNumberFormat="1" applyFont="1" applyFill="1" applyBorder="1" applyAlignment="1">
      <alignment horizontal="center"/>
    </xf>
    <xf numFmtId="164" fontId="11" fillId="9" borderId="50" xfId="0" applyNumberFormat="1" applyFont="1" applyFill="1" applyBorder="1" applyAlignment="1">
      <alignment horizontal="center"/>
    </xf>
    <xf numFmtId="164" fontId="11" fillId="9" borderId="51" xfId="0" applyNumberFormat="1" applyFont="1" applyFill="1" applyBorder="1" applyAlignment="1">
      <alignment horizontal="center"/>
    </xf>
    <xf numFmtId="0" fontId="10" fillId="9" borderId="15" xfId="0" applyFont="1" applyFill="1" applyBorder="1"/>
    <xf numFmtId="164" fontId="11" fillId="9" borderId="29" xfId="0" applyNumberFormat="1" applyFont="1" applyFill="1" applyBorder="1" applyAlignment="1">
      <alignment horizontal="center"/>
    </xf>
    <xf numFmtId="164" fontId="11" fillId="9" borderId="30" xfId="0" applyNumberFormat="1" applyFont="1" applyFill="1" applyBorder="1" applyAlignment="1">
      <alignment horizontal="center"/>
    </xf>
    <xf numFmtId="164" fontId="11" fillId="9" borderId="35" xfId="0" applyNumberFormat="1" applyFont="1" applyFill="1" applyBorder="1" applyAlignment="1">
      <alignment horizontal="center"/>
    </xf>
    <xf numFmtId="164" fontId="11" fillId="9" borderId="36" xfId="0" applyNumberFormat="1" applyFont="1" applyFill="1" applyBorder="1" applyAlignment="1">
      <alignment horizontal="center"/>
    </xf>
    <xf numFmtId="164" fontId="11" fillId="9" borderId="34" xfId="0" applyNumberFormat="1" applyFont="1" applyFill="1" applyBorder="1" applyAlignment="1">
      <alignment horizontal="center"/>
    </xf>
    <xf numFmtId="2" fontId="10" fillId="9" borderId="35" xfId="0" applyNumberFormat="1" applyFont="1" applyFill="1" applyBorder="1" applyAlignment="1">
      <alignment horizontal="center"/>
    </xf>
    <xf numFmtId="2" fontId="10" fillId="9" borderId="37" xfId="0" applyNumberFormat="1" applyFont="1" applyFill="1" applyBorder="1" applyAlignment="1">
      <alignment horizontal="center"/>
    </xf>
    <xf numFmtId="2" fontId="10" fillId="9" borderId="36" xfId="0" applyNumberFormat="1" applyFont="1" applyFill="1" applyBorder="1" applyAlignment="1">
      <alignment horizontal="center"/>
    </xf>
    <xf numFmtId="0" fontId="10" fillId="9" borderId="39" xfId="0" applyFont="1" applyFill="1" applyBorder="1"/>
    <xf numFmtId="0" fontId="10" fillId="9" borderId="4" xfId="0" applyFont="1" applyFill="1" applyBorder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2" xfId="0" applyFont="1" applyFill="1" applyBorder="1" applyAlignment="1">
      <alignment horizontal="center"/>
    </xf>
    <xf numFmtId="0" fontId="10" fillId="9" borderId="52" xfId="0" applyFont="1" applyFill="1" applyBorder="1" applyAlignment="1">
      <alignment horizontal="center"/>
    </xf>
    <xf numFmtId="0" fontId="10" fillId="9" borderId="43" xfId="0" applyFont="1" applyFill="1" applyBorder="1" applyAlignment="1">
      <alignment horizontal="center"/>
    </xf>
    <xf numFmtId="0" fontId="10" fillId="9" borderId="4" xfId="0" applyFont="1" applyFill="1" applyBorder="1" applyAlignment="1"/>
    <xf numFmtId="0" fontId="10" fillId="9" borderId="5" xfId="0" applyFont="1" applyFill="1" applyBorder="1" applyAlignment="1"/>
    <xf numFmtId="0" fontId="14" fillId="0" borderId="47" xfId="0" applyFont="1" applyBorder="1" applyAlignment="1">
      <alignment horizontal="center"/>
    </xf>
    <xf numFmtId="0" fontId="15" fillId="0" borderId="53" xfId="0" applyFont="1" applyBorder="1" applyAlignment="1">
      <alignment horizontal="center"/>
    </xf>
    <xf numFmtId="0" fontId="14" fillId="0" borderId="53" xfId="0" applyFont="1" applyBorder="1" applyAlignment="1">
      <alignment horizontal="center"/>
    </xf>
    <xf numFmtId="0" fontId="16" fillId="2" borderId="54" xfId="2" applyFont="1" applyFill="1" applyBorder="1" applyAlignment="1">
      <alignment horizontal="center"/>
    </xf>
    <xf numFmtId="164" fontId="17" fillId="10" borderId="8" xfId="0" applyNumberFormat="1" applyFont="1" applyFill="1" applyBorder="1" applyAlignment="1" applyProtection="1">
      <alignment horizontal="center" vertical="center" wrapText="1"/>
      <protection locked="0"/>
    </xf>
    <xf numFmtId="164" fontId="18" fillId="10" borderId="8" xfId="0" applyNumberFormat="1" applyFont="1" applyFill="1" applyBorder="1" applyAlignment="1" applyProtection="1">
      <alignment horizontal="center" vertical="center" wrapText="1"/>
      <protection locked="0"/>
    </xf>
    <xf numFmtId="0" fontId="17" fillId="10" borderId="8" xfId="0" applyFont="1" applyFill="1" applyBorder="1" applyAlignment="1" applyProtection="1">
      <alignment vertical="center" wrapText="1"/>
      <protection locked="0"/>
    </xf>
    <xf numFmtId="164" fontId="11" fillId="11" borderId="29" xfId="0" applyNumberFormat="1" applyFont="1" applyFill="1" applyBorder="1" applyAlignment="1">
      <alignment horizontal="center"/>
    </xf>
    <xf numFmtId="164" fontId="11" fillId="11" borderId="30" xfId="0" applyNumberFormat="1" applyFont="1" applyFill="1" applyBorder="1" applyAlignment="1">
      <alignment horizontal="center"/>
    </xf>
    <xf numFmtId="164" fontId="11" fillId="11" borderId="31" xfId="0" applyNumberFormat="1" applyFont="1" applyFill="1" applyBorder="1" applyAlignment="1">
      <alignment horizontal="center"/>
    </xf>
    <xf numFmtId="10" fontId="10" fillId="11" borderId="30" xfId="0" applyNumberFormat="1" applyFont="1" applyFill="1" applyBorder="1" applyAlignment="1">
      <alignment horizontal="center"/>
    </xf>
    <xf numFmtId="164" fontId="11" fillId="11" borderId="34" xfId="0" applyNumberFormat="1" applyFont="1" applyFill="1" applyBorder="1" applyAlignment="1">
      <alignment horizontal="center"/>
    </xf>
    <xf numFmtId="164" fontId="11" fillId="11" borderId="35" xfId="0" applyNumberFormat="1" applyFont="1" applyFill="1" applyBorder="1" applyAlignment="1">
      <alignment horizontal="center"/>
    </xf>
    <xf numFmtId="164" fontId="11" fillId="11" borderId="36" xfId="0" applyNumberFormat="1" applyFont="1" applyFill="1" applyBorder="1" applyAlignment="1">
      <alignment horizontal="center"/>
    </xf>
    <xf numFmtId="2" fontId="10" fillId="11" borderId="35" xfId="0" applyNumberFormat="1" applyFont="1" applyFill="1" applyBorder="1" applyAlignment="1">
      <alignment horizontal="center"/>
    </xf>
    <xf numFmtId="0" fontId="10" fillId="11" borderId="42" xfId="0" applyFont="1" applyFill="1" applyBorder="1" applyAlignment="1">
      <alignment horizontal="center"/>
    </xf>
    <xf numFmtId="164" fontId="11" fillId="12" borderId="29" xfId="0" applyNumberFormat="1" applyFont="1" applyFill="1" applyBorder="1" applyAlignment="1">
      <alignment horizontal="center"/>
    </xf>
    <xf numFmtId="164" fontId="11" fillId="12" borderId="34" xfId="0" applyNumberFormat="1" applyFont="1" applyFill="1" applyBorder="1" applyAlignment="1">
      <alignment horizontal="center"/>
    </xf>
    <xf numFmtId="0" fontId="10" fillId="11" borderId="56" xfId="0" applyFont="1" applyFill="1" applyBorder="1" applyAlignment="1">
      <alignment horizontal="center"/>
    </xf>
    <xf numFmtId="0" fontId="17" fillId="10" borderId="55" xfId="0" applyFont="1" applyFill="1" applyBorder="1" applyAlignment="1" applyProtection="1">
      <alignment vertical="center" wrapText="1"/>
      <protection locked="0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wrapText="1"/>
    </xf>
    <xf numFmtId="1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vertical="center" wrapText="1"/>
    </xf>
    <xf numFmtId="1" fontId="0" fillId="0" borderId="0" xfId="0" applyNumberFormat="1" applyAlignment="1">
      <alignment vertical="center"/>
    </xf>
    <xf numFmtId="166" fontId="0" fillId="0" borderId="0" xfId="0" applyNumberFormat="1" applyAlignment="1">
      <alignment horizontal="center" vertical="center"/>
    </xf>
    <xf numFmtId="0" fontId="3" fillId="13" borderId="0" xfId="0" applyFont="1" applyFill="1"/>
    <xf numFmtId="0" fontId="3" fillId="13" borderId="0" xfId="0" applyFont="1" applyFill="1" applyAlignment="1">
      <alignment horizontal="center"/>
    </xf>
    <xf numFmtId="2" fontId="3" fillId="13" borderId="0" xfId="0" applyNumberFormat="1" applyFont="1" applyFill="1" applyAlignment="1">
      <alignment horizontal="center"/>
    </xf>
    <xf numFmtId="0" fontId="3" fillId="13" borderId="0" xfId="0" applyFont="1" applyFill="1" applyAlignment="1">
      <alignment horizontal="center" vertical="center"/>
    </xf>
    <xf numFmtId="0" fontId="3" fillId="13" borderId="0" xfId="0" applyFont="1" applyFill="1" applyAlignment="1">
      <alignment wrapText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/>
    <xf numFmtId="167" fontId="0" fillId="0" borderId="0" xfId="0" applyNumberFormat="1" applyAlignment="1">
      <alignment horizontal="left"/>
    </xf>
    <xf numFmtId="0" fontId="3" fillId="3" borderId="2" xfId="3" applyAlignment="1">
      <alignment horizontal="center"/>
    </xf>
    <xf numFmtId="0" fontId="3" fillId="3" borderId="2" xfId="3" applyAlignment="1">
      <alignment horizontal="left"/>
    </xf>
    <xf numFmtId="167" fontId="3" fillId="3" borderId="2" xfId="3" applyNumberFormat="1" applyAlignment="1">
      <alignment horizontal="center"/>
    </xf>
    <xf numFmtId="0" fontId="0" fillId="0" borderId="30" xfId="0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0" fillId="0" borderId="30" xfId="0" applyBorder="1"/>
    <xf numFmtId="0" fontId="21" fillId="0" borderId="32" xfId="0" applyFont="1" applyBorder="1"/>
    <xf numFmtId="0" fontId="3" fillId="15" borderId="35" xfId="0" applyFont="1" applyFill="1" applyBorder="1" applyAlignment="1">
      <alignment horizontal="center"/>
    </xf>
    <xf numFmtId="168" fontId="24" fillId="4" borderId="30" xfId="0" applyNumberFormat="1" applyFont="1" applyFill="1" applyBorder="1" applyAlignment="1">
      <alignment horizontal="center" vertical="center"/>
    </xf>
    <xf numFmtId="0" fontId="25" fillId="16" borderId="31" xfId="0" applyFont="1" applyFill="1" applyBorder="1" applyAlignment="1" applyProtection="1">
      <alignment horizontal="left" vertical="center" wrapText="1"/>
      <protection locked="0"/>
    </xf>
    <xf numFmtId="168" fontId="26" fillId="0" borderId="25" xfId="0" applyNumberFormat="1" applyFont="1" applyBorder="1" applyAlignment="1">
      <alignment horizontal="center" vertical="center"/>
    </xf>
    <xf numFmtId="0" fontId="27" fillId="16" borderId="26" xfId="0" applyFont="1" applyFill="1" applyBorder="1" applyAlignment="1" applyProtection="1">
      <alignment horizontal="left" vertical="center" wrapText="1"/>
      <protection locked="0"/>
    </xf>
    <xf numFmtId="168" fontId="24" fillId="0" borderId="30" xfId="0" applyNumberFormat="1" applyFont="1" applyBorder="1" applyAlignment="1">
      <alignment horizontal="center" vertical="center"/>
    </xf>
    <xf numFmtId="168" fontId="26" fillId="4" borderId="30" xfId="0" applyNumberFormat="1" applyFont="1" applyFill="1" applyBorder="1" applyAlignment="1">
      <alignment horizontal="center" vertical="center"/>
    </xf>
    <xf numFmtId="0" fontId="27" fillId="16" borderId="31" xfId="0" applyFont="1" applyFill="1" applyBorder="1" applyAlignment="1" applyProtection="1">
      <alignment horizontal="left" vertical="center" wrapText="1"/>
      <protection locked="0"/>
    </xf>
    <xf numFmtId="10" fontId="26" fillId="0" borderId="30" xfId="1" applyNumberFormat="1" applyFont="1" applyBorder="1" applyAlignment="1" applyProtection="1">
      <alignment horizontal="center" vertical="center"/>
      <protection hidden="1"/>
    </xf>
    <xf numFmtId="0" fontId="24" fillId="0" borderId="30" xfId="0" applyFont="1" applyBorder="1" applyAlignment="1" applyProtection="1">
      <alignment horizontal="center" vertical="center"/>
      <protection hidden="1"/>
    </xf>
    <xf numFmtId="0" fontId="24" fillId="0" borderId="45" xfId="0" applyFont="1" applyBorder="1" applyAlignment="1" applyProtection="1">
      <alignment horizontal="center" vertical="center"/>
      <protection hidden="1"/>
    </xf>
    <xf numFmtId="0" fontId="25" fillId="16" borderId="46" xfId="0" applyFont="1" applyFill="1" applyBorder="1" applyAlignment="1" applyProtection="1">
      <alignment horizontal="left" vertical="center" wrapText="1"/>
      <protection locked="0"/>
    </xf>
    <xf numFmtId="0" fontId="27" fillId="10" borderId="21" xfId="0" applyFont="1" applyFill="1" applyBorder="1" applyAlignment="1" applyProtection="1">
      <alignment horizontal="center" vertical="center" wrapText="1"/>
      <protection locked="0"/>
    </xf>
    <xf numFmtId="0" fontId="27" fillId="10" borderId="47" xfId="0" applyFont="1" applyFill="1" applyBorder="1" applyAlignment="1" applyProtection="1">
      <alignment horizontal="center" vertical="center" wrapText="1"/>
      <protection locked="0"/>
    </xf>
    <xf numFmtId="0" fontId="27" fillId="10" borderId="4" xfId="0" applyFont="1" applyFill="1" applyBorder="1" applyAlignment="1" applyProtection="1">
      <alignment horizontal="left" vertical="center" wrapText="1"/>
      <protection locked="0"/>
    </xf>
    <xf numFmtId="0" fontId="27" fillId="10" borderId="5" xfId="0" applyFont="1" applyFill="1" applyBorder="1" applyAlignment="1" applyProtection="1">
      <alignment horizontal="left" vertical="center" wrapText="1"/>
      <protection locked="0"/>
    </xf>
    <xf numFmtId="0" fontId="25" fillId="6" borderId="60" xfId="0" applyFont="1" applyFill="1" applyBorder="1" applyAlignment="1" applyProtection="1">
      <alignment horizontal="center" vertical="center"/>
      <protection locked="0"/>
    </xf>
    <xf numFmtId="1" fontId="25" fillId="6" borderId="60" xfId="0" applyNumberFormat="1" applyFont="1" applyFill="1" applyBorder="1" applyAlignment="1" applyProtection="1">
      <alignment horizontal="center" vertical="center"/>
      <protection locked="0"/>
    </xf>
    <xf numFmtId="1" fontId="27" fillId="10" borderId="21" xfId="0" applyNumberFormat="1" applyFont="1" applyFill="1" applyBorder="1" applyAlignment="1" applyProtection="1">
      <alignment horizontal="center" vertical="center" wrapText="1"/>
      <protection locked="0"/>
    </xf>
    <xf numFmtId="0" fontId="25" fillId="6" borderId="53" xfId="0" applyFont="1" applyFill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25" fillId="6" borderId="40" xfId="0" applyFont="1" applyFill="1" applyBorder="1" applyAlignment="1" applyProtection="1">
      <alignment horizontal="center" vertical="center"/>
      <protection locked="0"/>
    </xf>
    <xf numFmtId="0" fontId="25" fillId="6" borderId="61" xfId="0" applyFont="1" applyFill="1" applyBorder="1" applyAlignment="1" applyProtection="1">
      <alignment horizontal="center" vertical="center"/>
      <protection locked="0"/>
    </xf>
    <xf numFmtId="0" fontId="25" fillId="6" borderId="62" xfId="0" applyFont="1" applyFill="1" applyBorder="1" applyAlignment="1" applyProtection="1">
      <alignment horizontal="center" vertical="center"/>
      <protection locked="0"/>
    </xf>
    <xf numFmtId="1" fontId="25" fillId="6" borderId="62" xfId="0" applyNumberFormat="1" applyFont="1" applyFill="1" applyBorder="1" applyAlignment="1" applyProtection="1">
      <alignment horizontal="center" vertical="center"/>
      <protection locked="0"/>
    </xf>
    <xf numFmtId="0" fontId="22" fillId="14" borderId="30" xfId="0" applyFont="1" applyFill="1" applyBorder="1" applyAlignment="1">
      <alignment horizontal="center"/>
    </xf>
    <xf numFmtId="0" fontId="30" fillId="17" borderId="47" xfId="0" applyFont="1" applyFill="1" applyBorder="1" applyAlignment="1" applyProtection="1">
      <alignment horizontal="center" vertical="center" wrapText="1"/>
      <protection locked="0"/>
    </xf>
    <xf numFmtId="0" fontId="31" fillId="16" borderId="45" xfId="0" applyFont="1" applyFill="1" applyBorder="1" applyAlignment="1" applyProtection="1">
      <alignment horizontal="center" vertical="center" wrapText="1"/>
      <protection locked="0"/>
    </xf>
    <xf numFmtId="0" fontId="31" fillId="16" borderId="30" xfId="0" applyFont="1" applyFill="1" applyBorder="1" applyAlignment="1" applyProtection="1">
      <alignment horizontal="center" vertical="center" wrapText="1"/>
      <protection locked="0"/>
    </xf>
    <xf numFmtId="0" fontId="31" fillId="16" borderId="25" xfId="0" applyFont="1" applyFill="1" applyBorder="1" applyAlignment="1" applyProtection="1">
      <alignment horizontal="center" vertical="center" wrapText="1"/>
      <protection locked="0"/>
    </xf>
    <xf numFmtId="169" fontId="32" fillId="16" borderId="30" xfId="0" applyNumberFormat="1" applyFont="1" applyFill="1" applyBorder="1" applyAlignment="1" applyProtection="1">
      <alignment horizontal="center" vertical="center" wrapText="1"/>
      <protection locked="0"/>
    </xf>
    <xf numFmtId="0" fontId="30" fillId="17" borderId="21" xfId="0" applyFont="1" applyFill="1" applyBorder="1" applyAlignment="1" applyProtection="1">
      <alignment horizontal="center" vertical="center" wrapText="1"/>
      <protection locked="0"/>
    </xf>
    <xf numFmtId="0" fontId="31" fillId="16" borderId="44" xfId="0" applyFont="1" applyFill="1" applyBorder="1" applyAlignment="1" applyProtection="1">
      <alignment horizontal="center" vertical="center" wrapText="1"/>
      <protection locked="0"/>
    </xf>
    <xf numFmtId="0" fontId="31" fillId="16" borderId="29" xfId="0" applyFont="1" applyFill="1" applyBorder="1" applyAlignment="1" applyProtection="1">
      <alignment horizontal="center" vertical="center" wrapText="1"/>
      <protection locked="0"/>
    </xf>
    <xf numFmtId="0" fontId="31" fillId="16" borderId="24" xfId="0" applyFont="1" applyFill="1" applyBorder="1" applyAlignment="1" applyProtection="1">
      <alignment horizontal="center" vertical="center" wrapText="1"/>
      <protection locked="0"/>
    </xf>
    <xf numFmtId="169" fontId="32" fillId="16" borderId="29" xfId="0" applyNumberFormat="1" applyFont="1" applyFill="1" applyBorder="1" applyAlignment="1" applyProtection="1">
      <alignment horizontal="center" vertical="center" wrapText="1"/>
      <protection locked="0"/>
    </xf>
    <xf numFmtId="1" fontId="24" fillId="0" borderId="45" xfId="0" applyNumberFormat="1" applyFont="1" applyBorder="1" applyAlignment="1" applyProtection="1">
      <alignment horizontal="center" vertical="center"/>
      <protection hidden="1"/>
    </xf>
    <xf numFmtId="165" fontId="33" fillId="16" borderId="30" xfId="1" applyNumberFormat="1" applyFont="1" applyFill="1" applyBorder="1" applyAlignment="1" applyProtection="1">
      <alignment horizontal="center" vertical="center" wrapText="1"/>
      <protection locked="0"/>
    </xf>
    <xf numFmtId="0" fontId="34" fillId="16" borderId="30" xfId="0" applyFont="1" applyFill="1" applyBorder="1" applyAlignment="1" applyProtection="1">
      <alignment horizontal="center" vertical="center" wrapText="1"/>
      <protection locked="0"/>
    </xf>
    <xf numFmtId="170" fontId="33" fillId="16" borderId="30" xfId="0" applyNumberFormat="1" applyFont="1" applyFill="1" applyBorder="1" applyAlignment="1" applyProtection="1">
      <alignment horizontal="center" vertical="center" wrapText="1"/>
      <protection locked="0"/>
    </xf>
    <xf numFmtId="165" fontId="35" fillId="16" borderId="29" xfId="1" applyNumberFormat="1" applyFont="1" applyFill="1" applyBorder="1" applyAlignment="1" applyProtection="1">
      <alignment horizontal="center" vertical="center" wrapText="1"/>
      <protection locked="0"/>
    </xf>
    <xf numFmtId="0" fontId="36" fillId="16" borderId="29" xfId="0" applyFont="1" applyFill="1" applyBorder="1" applyAlignment="1" applyProtection="1">
      <alignment horizontal="center" vertical="center" wrapText="1"/>
      <protection locked="0"/>
    </xf>
    <xf numFmtId="170" fontId="35" fillId="16" borderId="29" xfId="0" applyNumberFormat="1" applyFont="1" applyFill="1" applyBorder="1" applyAlignment="1" applyProtection="1">
      <alignment horizontal="center" vertical="center" wrapText="1"/>
      <protection locked="0"/>
    </xf>
    <xf numFmtId="0" fontId="37" fillId="0" borderId="63" xfId="0" applyFont="1" applyFill="1" applyBorder="1" applyAlignment="1">
      <alignment horizontal="center"/>
    </xf>
    <xf numFmtId="0" fontId="22" fillId="18" borderId="30" xfId="0" applyFont="1" applyFill="1" applyBorder="1" applyAlignment="1">
      <alignment horizontal="center"/>
    </xf>
    <xf numFmtId="1" fontId="3" fillId="13" borderId="0" xfId="0" applyNumberFormat="1" applyFont="1" applyFill="1" applyAlignment="1">
      <alignment horizontal="center"/>
    </xf>
    <xf numFmtId="0" fontId="22" fillId="19" borderId="30" xfId="0" applyFont="1" applyFill="1" applyBorder="1" applyAlignment="1">
      <alignment horizontal="center"/>
    </xf>
    <xf numFmtId="0" fontId="22" fillId="20" borderId="30" xfId="0" applyFont="1" applyFill="1" applyBorder="1" applyAlignment="1">
      <alignment horizontal="center"/>
    </xf>
    <xf numFmtId="49" fontId="3" fillId="13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9" fillId="7" borderId="3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left" vertical="center"/>
    </xf>
    <xf numFmtId="0" fontId="8" fillId="6" borderId="22" xfId="0" applyFont="1" applyFill="1" applyBorder="1" applyAlignment="1">
      <alignment horizontal="left" vertical="center"/>
    </xf>
    <xf numFmtId="0" fontId="8" fillId="6" borderId="21" xfId="0" applyFont="1" applyFill="1" applyBorder="1" applyAlignment="1">
      <alignment horizontal="left" vertical="center"/>
    </xf>
    <xf numFmtId="164" fontId="13" fillId="8" borderId="45" xfId="0" applyNumberFormat="1" applyFont="1" applyFill="1" applyBorder="1" applyAlignment="1">
      <alignment horizontal="center" vertical="center"/>
    </xf>
    <xf numFmtId="164" fontId="13" fillId="8" borderId="25" xfId="0" applyNumberFormat="1" applyFont="1" applyFill="1" applyBorder="1" applyAlignment="1">
      <alignment horizontal="center" vertical="center"/>
    </xf>
    <xf numFmtId="0" fontId="14" fillId="2" borderId="5" xfId="2" applyFont="1" applyFill="1" applyBorder="1" applyAlignment="1">
      <alignment horizontal="center"/>
    </xf>
    <xf numFmtId="0" fontId="14" fillId="2" borderId="4" xfId="2" applyFont="1" applyFill="1" applyBorder="1" applyAlignment="1">
      <alignment horizontal="center"/>
    </xf>
    <xf numFmtId="0" fontId="14" fillId="2" borderId="3" xfId="2" applyFont="1" applyFill="1" applyBorder="1" applyAlignment="1">
      <alignment horizontal="center"/>
    </xf>
    <xf numFmtId="164" fontId="13" fillId="8" borderId="44" xfId="0" applyNumberFormat="1" applyFont="1" applyFill="1" applyBorder="1" applyAlignment="1">
      <alignment horizontal="center" vertical="center"/>
    </xf>
    <xf numFmtId="164" fontId="13" fillId="8" borderId="24" xfId="0" applyNumberFormat="1" applyFont="1" applyFill="1" applyBorder="1" applyAlignment="1">
      <alignment horizontal="center" vertical="center"/>
    </xf>
    <xf numFmtId="164" fontId="13" fillId="11" borderId="46" xfId="0" applyNumberFormat="1" applyFont="1" applyFill="1" applyBorder="1" applyAlignment="1">
      <alignment horizontal="center" vertical="center"/>
    </xf>
    <xf numFmtId="164" fontId="13" fillId="11" borderId="26" xfId="0" applyNumberFormat="1" applyFont="1" applyFill="1" applyBorder="1" applyAlignment="1">
      <alignment horizontal="center" vertical="center"/>
    </xf>
    <xf numFmtId="164" fontId="13" fillId="11" borderId="45" xfId="0" applyNumberFormat="1" applyFont="1" applyFill="1" applyBorder="1" applyAlignment="1">
      <alignment horizontal="center" vertical="center"/>
    </xf>
    <xf numFmtId="164" fontId="13" fillId="11" borderId="25" xfId="0" applyNumberFormat="1" applyFont="1" applyFill="1" applyBorder="1" applyAlignment="1">
      <alignment horizontal="center" vertical="center"/>
    </xf>
    <xf numFmtId="164" fontId="13" fillId="11" borderId="44" xfId="0" applyNumberFormat="1" applyFont="1" applyFill="1" applyBorder="1" applyAlignment="1">
      <alignment horizontal="center" vertical="center"/>
    </xf>
    <xf numFmtId="164" fontId="13" fillId="11" borderId="24" xfId="0" applyNumberFormat="1" applyFont="1" applyFill="1" applyBorder="1" applyAlignment="1">
      <alignment horizontal="center" vertical="center"/>
    </xf>
    <xf numFmtId="164" fontId="13" fillId="12" borderId="44" xfId="0" applyNumberFormat="1" applyFont="1" applyFill="1" applyBorder="1" applyAlignment="1">
      <alignment horizontal="center" vertical="center"/>
    </xf>
    <xf numFmtId="164" fontId="13" fillId="12" borderId="24" xfId="0" applyNumberFormat="1" applyFont="1" applyFill="1" applyBorder="1" applyAlignment="1">
      <alignment horizontal="center" vertical="center"/>
    </xf>
    <xf numFmtId="164" fontId="13" fillId="9" borderId="44" xfId="0" applyNumberFormat="1" applyFont="1" applyFill="1" applyBorder="1" applyAlignment="1">
      <alignment horizontal="center" vertical="center"/>
    </xf>
    <xf numFmtId="164" fontId="13" fillId="9" borderId="24" xfId="0" applyNumberFormat="1" applyFont="1" applyFill="1" applyBorder="1" applyAlignment="1">
      <alignment horizontal="center" vertical="center"/>
    </xf>
    <xf numFmtId="164" fontId="13" fillId="9" borderId="46" xfId="0" applyNumberFormat="1" applyFont="1" applyFill="1" applyBorder="1" applyAlignment="1">
      <alignment horizontal="center" vertical="center"/>
    </xf>
    <xf numFmtId="164" fontId="13" fillId="9" borderId="26" xfId="0" applyNumberFormat="1" applyFont="1" applyFill="1" applyBorder="1" applyAlignment="1">
      <alignment horizontal="center" vertical="center"/>
    </xf>
    <xf numFmtId="164" fontId="13" fillId="9" borderId="45" xfId="0" applyNumberFormat="1" applyFont="1" applyFill="1" applyBorder="1" applyAlignment="1">
      <alignment horizontal="center" vertical="center"/>
    </xf>
    <xf numFmtId="164" fontId="13" fillId="9" borderId="25" xfId="0" applyNumberFormat="1" applyFont="1" applyFill="1" applyBorder="1" applyAlignment="1">
      <alignment horizontal="center" vertical="center"/>
    </xf>
    <xf numFmtId="164" fontId="13" fillId="8" borderId="46" xfId="0" applyNumberFormat="1" applyFont="1" applyFill="1" applyBorder="1" applyAlignment="1">
      <alignment horizontal="center" vertical="center"/>
    </xf>
    <xf numFmtId="164" fontId="13" fillId="8" borderId="26" xfId="0" applyNumberFormat="1" applyFont="1" applyFill="1" applyBorder="1" applyAlignment="1">
      <alignment horizontal="center" vertical="center"/>
    </xf>
    <xf numFmtId="0" fontId="12" fillId="9" borderId="23" xfId="0" applyFont="1" applyFill="1" applyBorder="1" applyAlignment="1">
      <alignment horizontal="center"/>
    </xf>
    <xf numFmtId="0" fontId="12" fillId="9" borderId="22" xfId="0" applyFont="1" applyFill="1" applyBorder="1" applyAlignment="1">
      <alignment horizontal="center"/>
    </xf>
    <xf numFmtId="0" fontId="12" fillId="9" borderId="21" xfId="0" applyFont="1" applyFill="1" applyBorder="1" applyAlignment="1">
      <alignment horizontal="center"/>
    </xf>
    <xf numFmtId="0" fontId="12" fillId="8" borderId="5" xfId="0" applyFont="1" applyFill="1" applyBorder="1" applyAlignment="1">
      <alignment horizontal="center"/>
    </xf>
    <xf numFmtId="0" fontId="12" fillId="8" borderId="0" xfId="0" applyFont="1" applyFill="1" applyBorder="1" applyAlignment="1">
      <alignment horizontal="center"/>
    </xf>
    <xf numFmtId="0" fontId="12" fillId="8" borderId="20" xfId="0" applyFont="1" applyFill="1" applyBorder="1" applyAlignment="1">
      <alignment horizontal="center"/>
    </xf>
    <xf numFmtId="0" fontId="12" fillId="11" borderId="5" xfId="0" applyFont="1" applyFill="1" applyBorder="1" applyAlignment="1">
      <alignment horizontal="center"/>
    </xf>
    <xf numFmtId="0" fontId="12" fillId="11" borderId="8" xfId="0" applyFont="1" applyFill="1" applyBorder="1" applyAlignment="1">
      <alignment horizontal="center"/>
    </xf>
    <xf numFmtId="0" fontId="17" fillId="10" borderId="55" xfId="0" applyFont="1" applyFill="1" applyBorder="1" applyAlignment="1" applyProtection="1">
      <alignment horizontal="left" vertical="center" wrapText="1"/>
      <protection locked="0"/>
    </xf>
    <xf numFmtId="0" fontId="17" fillId="10" borderId="8" xfId="0" applyFont="1" applyFill="1" applyBorder="1" applyAlignment="1" applyProtection="1">
      <alignment horizontal="left" vertical="center" wrapText="1"/>
      <protection locked="0"/>
    </xf>
    <xf numFmtId="0" fontId="23" fillId="15" borderId="59" xfId="0" applyNumberFormat="1" applyFont="1" applyFill="1" applyBorder="1" applyAlignment="1">
      <alignment horizontal="left"/>
    </xf>
    <xf numFmtId="0" fontId="23" fillId="15" borderId="58" xfId="0" applyNumberFormat="1" applyFont="1" applyFill="1" applyBorder="1" applyAlignment="1">
      <alignment horizontal="left"/>
    </xf>
    <xf numFmtId="0" fontId="19" fillId="9" borderId="53" xfId="0" applyFont="1" applyFill="1" applyBorder="1"/>
    <xf numFmtId="164" fontId="11" fillId="9" borderId="38" xfId="0" applyNumberFormat="1" applyFont="1" applyFill="1" applyBorder="1" applyAlignment="1">
      <alignment horizontal="center"/>
    </xf>
    <xf numFmtId="10" fontId="10" fillId="9" borderId="26" xfId="0" applyNumberFormat="1" applyFont="1" applyFill="1" applyBorder="1" applyAlignment="1">
      <alignment horizontal="center"/>
    </xf>
    <xf numFmtId="10" fontId="10" fillId="9" borderId="25" xfId="0" applyNumberFormat="1" applyFont="1" applyFill="1" applyBorder="1" applyAlignment="1">
      <alignment horizontal="center"/>
    </xf>
    <xf numFmtId="164" fontId="11" fillId="9" borderId="64" xfId="0" applyNumberFormat="1" applyFont="1" applyFill="1" applyBorder="1" applyAlignment="1">
      <alignment horizontal="center"/>
    </xf>
    <xf numFmtId="164" fontId="11" fillId="9" borderId="65" xfId="0" applyNumberFormat="1" applyFont="1" applyFill="1" applyBorder="1" applyAlignment="1">
      <alignment horizontal="center"/>
    </xf>
    <xf numFmtId="164" fontId="11" fillId="9" borderId="66" xfId="0" applyNumberFormat="1" applyFont="1" applyFill="1" applyBorder="1" applyAlignment="1">
      <alignment horizontal="center"/>
    </xf>
    <xf numFmtId="10" fontId="10" fillId="9" borderId="57" xfId="0" applyNumberFormat="1" applyFont="1" applyFill="1" applyBorder="1" applyAlignment="1">
      <alignment horizontal="center"/>
    </xf>
    <xf numFmtId="10" fontId="10" fillId="9" borderId="49" xfId="0" applyNumberFormat="1" applyFont="1" applyFill="1" applyBorder="1" applyAlignment="1">
      <alignment horizontal="center"/>
    </xf>
    <xf numFmtId="164" fontId="11" fillId="9" borderId="43" xfId="0" applyNumberFormat="1" applyFont="1" applyFill="1" applyBorder="1" applyAlignment="1">
      <alignment horizontal="center"/>
    </xf>
    <xf numFmtId="164" fontId="11" fillId="9" borderId="42" xfId="0" applyNumberFormat="1" applyFont="1" applyFill="1" applyBorder="1" applyAlignment="1">
      <alignment horizontal="center"/>
    </xf>
    <xf numFmtId="164" fontId="11" fillId="9" borderId="41" xfId="0" applyNumberFormat="1" applyFont="1" applyFill="1" applyBorder="1" applyAlignment="1">
      <alignment horizontal="center"/>
    </xf>
    <xf numFmtId="164" fontId="11" fillId="11" borderId="0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164" fontId="11" fillId="11" borderId="20" xfId="0" applyNumberFormat="1" applyFont="1" applyFill="1" applyBorder="1" applyAlignment="1">
      <alignment horizontal="center"/>
    </xf>
    <xf numFmtId="164" fontId="11" fillId="11" borderId="8" xfId="0" applyNumberFormat="1" applyFont="1" applyFill="1" applyBorder="1" applyAlignment="1">
      <alignment horizontal="center"/>
    </xf>
    <xf numFmtId="164" fontId="11" fillId="11" borderId="61" xfId="0" applyNumberFormat="1" applyFont="1" applyFill="1" applyBorder="1" applyAlignment="1">
      <alignment horizontal="center"/>
    </xf>
    <xf numFmtId="0" fontId="10" fillId="9" borderId="41" xfId="0" applyFont="1" applyFill="1" applyBorder="1" applyAlignment="1">
      <alignment horizontal="center"/>
    </xf>
    <xf numFmtId="2" fontId="10" fillId="9" borderId="34" xfId="0" applyNumberFormat="1" applyFont="1" applyFill="1" applyBorder="1" applyAlignment="1">
      <alignment horizontal="center"/>
    </xf>
    <xf numFmtId="10" fontId="10" fillId="9" borderId="48" xfId="0" applyNumberFormat="1" applyFont="1" applyFill="1" applyBorder="1" applyAlignment="1">
      <alignment horizontal="center"/>
    </xf>
    <xf numFmtId="10" fontId="10" fillId="9" borderId="24" xfId="0" applyNumberFormat="1" applyFont="1" applyFill="1" applyBorder="1" applyAlignment="1">
      <alignment horizontal="center"/>
    </xf>
    <xf numFmtId="0" fontId="12" fillId="11" borderId="61" xfId="0" applyFont="1" applyFill="1" applyBorder="1" applyAlignment="1">
      <alignment horizontal="center"/>
    </xf>
    <xf numFmtId="0" fontId="10" fillId="11" borderId="41" xfId="0" applyFont="1" applyFill="1" applyBorder="1" applyAlignment="1">
      <alignment horizontal="center"/>
    </xf>
    <xf numFmtId="2" fontId="10" fillId="11" borderId="34" xfId="0" applyNumberFormat="1" applyFont="1" applyFill="1" applyBorder="1" applyAlignment="1">
      <alignment horizontal="center"/>
    </xf>
    <xf numFmtId="10" fontId="10" fillId="11" borderId="29" xfId="0" applyNumberFormat="1" applyFont="1" applyFill="1" applyBorder="1" applyAlignment="1">
      <alignment horizontal="center"/>
    </xf>
    <xf numFmtId="0" fontId="12" fillId="21" borderId="5" xfId="0" applyFont="1" applyFill="1" applyBorder="1" applyAlignment="1">
      <alignment horizontal="center"/>
    </xf>
    <xf numFmtId="0" fontId="12" fillId="21" borderId="22" xfId="0" applyFont="1" applyFill="1" applyBorder="1" applyAlignment="1">
      <alignment horizontal="center"/>
    </xf>
    <xf numFmtId="0" fontId="12" fillId="21" borderId="21" xfId="0" applyFont="1" applyFill="1" applyBorder="1" applyAlignment="1">
      <alignment horizontal="center"/>
    </xf>
    <xf numFmtId="0" fontId="10" fillId="21" borderId="8" xfId="0" applyFont="1" applyFill="1" applyBorder="1" applyAlignment="1"/>
    <xf numFmtId="164" fontId="13" fillId="21" borderId="46" xfId="0" applyNumberFormat="1" applyFont="1" applyFill="1" applyBorder="1" applyAlignment="1">
      <alignment horizontal="center" vertical="center"/>
    </xf>
    <xf numFmtId="164" fontId="13" fillId="21" borderId="45" xfId="0" applyNumberFormat="1" applyFont="1" applyFill="1" applyBorder="1" applyAlignment="1">
      <alignment horizontal="center" vertical="center"/>
    </xf>
    <xf numFmtId="0" fontId="19" fillId="21" borderId="53" xfId="0" applyFont="1" applyFill="1" applyBorder="1"/>
    <xf numFmtId="0" fontId="10" fillId="21" borderId="43" xfId="0" applyFont="1" applyFill="1" applyBorder="1" applyAlignment="1">
      <alignment horizontal="center"/>
    </xf>
    <xf numFmtId="0" fontId="10" fillId="21" borderId="42" xfId="0" applyFont="1" applyFill="1" applyBorder="1" applyAlignment="1">
      <alignment horizontal="center"/>
    </xf>
    <xf numFmtId="0" fontId="10" fillId="21" borderId="41" xfId="0" applyFont="1" applyFill="1" applyBorder="1" applyAlignment="1">
      <alignment horizontal="center"/>
    </xf>
    <xf numFmtId="0" fontId="10" fillId="21" borderId="4" xfId="0" applyFont="1" applyFill="1" applyBorder="1" applyAlignment="1">
      <alignment horizontal="center"/>
    </xf>
    <xf numFmtId="164" fontId="13" fillId="21" borderId="26" xfId="0" applyNumberFormat="1" applyFont="1" applyFill="1" applyBorder="1" applyAlignment="1">
      <alignment horizontal="center" vertical="center"/>
    </xf>
    <xf numFmtId="164" fontId="13" fillId="21" borderId="25" xfId="0" applyNumberFormat="1" applyFont="1" applyFill="1" applyBorder="1" applyAlignment="1">
      <alignment horizontal="center" vertical="center"/>
    </xf>
    <xf numFmtId="0" fontId="10" fillId="21" borderId="39" xfId="0" applyFont="1" applyFill="1" applyBorder="1"/>
    <xf numFmtId="2" fontId="10" fillId="21" borderId="36" xfId="0" applyNumberFormat="1" applyFont="1" applyFill="1" applyBorder="1" applyAlignment="1">
      <alignment horizontal="center"/>
    </xf>
    <xf numFmtId="2" fontId="10" fillId="21" borderId="35" xfId="0" applyNumberFormat="1" applyFont="1" applyFill="1" applyBorder="1" applyAlignment="1">
      <alignment horizontal="center"/>
    </xf>
    <xf numFmtId="2" fontId="10" fillId="21" borderId="34" xfId="0" applyNumberFormat="1" applyFont="1" applyFill="1" applyBorder="1" applyAlignment="1">
      <alignment horizontal="center"/>
    </xf>
    <xf numFmtId="164" fontId="11" fillId="21" borderId="36" xfId="0" applyNumberFormat="1" applyFont="1" applyFill="1" applyBorder="1" applyAlignment="1">
      <alignment horizontal="center"/>
    </xf>
    <xf numFmtId="164" fontId="11" fillId="21" borderId="35" xfId="0" applyNumberFormat="1" applyFont="1" applyFill="1" applyBorder="1" applyAlignment="1">
      <alignment horizontal="center"/>
    </xf>
    <xf numFmtId="0" fontId="10" fillId="21" borderId="15" xfId="0" applyFont="1" applyFill="1" applyBorder="1"/>
    <xf numFmtId="10" fontId="10" fillId="21" borderId="31" xfId="0" applyNumberFormat="1" applyFont="1" applyFill="1" applyBorder="1" applyAlignment="1">
      <alignment horizontal="center"/>
    </xf>
    <xf numFmtId="10" fontId="10" fillId="21" borderId="30" xfId="0" applyNumberFormat="1" applyFont="1" applyFill="1" applyBorder="1" applyAlignment="1">
      <alignment horizontal="center"/>
    </xf>
    <xf numFmtId="10" fontId="10" fillId="21" borderId="29" xfId="0" applyNumberFormat="1" applyFont="1" applyFill="1" applyBorder="1" applyAlignment="1">
      <alignment horizontal="center"/>
    </xf>
    <xf numFmtId="164" fontId="11" fillId="21" borderId="31" xfId="0" applyNumberFormat="1" applyFont="1" applyFill="1" applyBorder="1" applyAlignment="1">
      <alignment horizontal="center"/>
    </xf>
    <xf numFmtId="164" fontId="11" fillId="21" borderId="30" xfId="0" applyNumberFormat="1" applyFont="1" applyFill="1" applyBorder="1" applyAlignment="1">
      <alignment horizontal="center"/>
    </xf>
    <xf numFmtId="0" fontId="10" fillId="21" borderId="52" xfId="0" applyFont="1" applyFill="1" applyBorder="1" applyAlignment="1">
      <alignment horizontal="center"/>
    </xf>
    <xf numFmtId="164" fontId="11" fillId="21" borderId="43" xfId="0" applyNumberFormat="1" applyFont="1" applyFill="1" applyBorder="1" applyAlignment="1">
      <alignment horizontal="center"/>
    </xf>
    <xf numFmtId="164" fontId="11" fillId="21" borderId="42" xfId="0" applyNumberFormat="1" applyFont="1" applyFill="1" applyBorder="1" applyAlignment="1">
      <alignment horizontal="center"/>
    </xf>
    <xf numFmtId="164" fontId="11" fillId="21" borderId="41" xfId="0" applyNumberFormat="1" applyFont="1" applyFill="1" applyBorder="1" applyAlignment="1">
      <alignment horizontal="center"/>
    </xf>
    <xf numFmtId="2" fontId="10" fillId="21" borderId="37" xfId="0" applyNumberFormat="1" applyFont="1" applyFill="1" applyBorder="1" applyAlignment="1">
      <alignment horizontal="center"/>
    </xf>
    <xf numFmtId="164" fontId="11" fillId="21" borderId="34" xfId="0" applyNumberFormat="1" applyFont="1" applyFill="1" applyBorder="1" applyAlignment="1">
      <alignment horizontal="center"/>
    </xf>
    <xf numFmtId="10" fontId="10" fillId="21" borderId="26" xfId="0" applyNumberFormat="1" applyFont="1" applyFill="1" applyBorder="1" applyAlignment="1">
      <alignment horizontal="center"/>
    </xf>
    <xf numFmtId="10" fontId="10" fillId="21" borderId="25" xfId="0" applyNumberFormat="1" applyFont="1" applyFill="1" applyBorder="1" applyAlignment="1">
      <alignment horizontal="center"/>
    </xf>
    <xf numFmtId="10" fontId="10" fillId="21" borderId="24" xfId="0" applyNumberFormat="1" applyFont="1" applyFill="1" applyBorder="1" applyAlignment="1">
      <alignment horizontal="center"/>
    </xf>
    <xf numFmtId="164" fontId="11" fillId="21" borderId="64" xfId="0" applyNumberFormat="1" applyFont="1" applyFill="1" applyBorder="1" applyAlignment="1">
      <alignment horizontal="center"/>
    </xf>
    <xf numFmtId="164" fontId="11" fillId="21" borderId="65" xfId="0" applyNumberFormat="1" applyFont="1" applyFill="1" applyBorder="1" applyAlignment="1">
      <alignment horizontal="center"/>
    </xf>
    <xf numFmtId="164" fontId="11" fillId="21" borderId="66" xfId="0" applyNumberFormat="1" applyFont="1" applyFill="1" applyBorder="1" applyAlignment="1">
      <alignment horizontal="center"/>
    </xf>
    <xf numFmtId="0" fontId="19" fillId="22" borderId="53" xfId="0" applyFont="1" applyFill="1" applyBorder="1"/>
    <xf numFmtId="0" fontId="10" fillId="22" borderId="43" xfId="0" applyFont="1" applyFill="1" applyBorder="1" applyAlignment="1">
      <alignment horizontal="center"/>
    </xf>
    <xf numFmtId="0" fontId="10" fillId="22" borderId="42" xfId="0" applyFont="1" applyFill="1" applyBorder="1" applyAlignment="1">
      <alignment horizontal="center"/>
    </xf>
    <xf numFmtId="0" fontId="10" fillId="22" borderId="41" xfId="0" applyFont="1" applyFill="1" applyBorder="1" applyAlignment="1">
      <alignment horizontal="center"/>
    </xf>
    <xf numFmtId="0" fontId="10" fillId="22" borderId="39" xfId="0" applyFont="1" applyFill="1" applyBorder="1"/>
    <xf numFmtId="2" fontId="10" fillId="22" borderId="36" xfId="0" applyNumberFormat="1" applyFont="1" applyFill="1" applyBorder="1" applyAlignment="1">
      <alignment horizontal="center"/>
    </xf>
    <xf numFmtId="2" fontId="10" fillId="22" borderId="35" xfId="0" applyNumberFormat="1" applyFont="1" applyFill="1" applyBorder="1" applyAlignment="1">
      <alignment horizontal="center"/>
    </xf>
    <xf numFmtId="2" fontId="10" fillId="22" borderId="34" xfId="0" applyNumberFormat="1" applyFont="1" applyFill="1" applyBorder="1" applyAlignment="1">
      <alignment horizontal="center"/>
    </xf>
    <xf numFmtId="0" fontId="10" fillId="22" borderId="15" xfId="0" applyFont="1" applyFill="1" applyBorder="1"/>
    <xf numFmtId="10" fontId="10" fillId="22" borderId="31" xfId="0" applyNumberFormat="1" applyFont="1" applyFill="1" applyBorder="1" applyAlignment="1">
      <alignment horizontal="center"/>
    </xf>
    <xf numFmtId="10" fontId="10" fillId="22" borderId="30" xfId="0" applyNumberFormat="1" applyFont="1" applyFill="1" applyBorder="1" applyAlignment="1">
      <alignment horizontal="center"/>
    </xf>
    <xf numFmtId="10" fontId="10" fillId="22" borderId="29" xfId="0" applyNumberFormat="1" applyFont="1" applyFill="1" applyBorder="1" applyAlignment="1">
      <alignment horizontal="center"/>
    </xf>
    <xf numFmtId="0" fontId="10" fillId="22" borderId="52" xfId="0" applyFont="1" applyFill="1" applyBorder="1" applyAlignment="1">
      <alignment horizontal="center"/>
    </xf>
    <xf numFmtId="2" fontId="10" fillId="22" borderId="37" xfId="0" applyNumberFormat="1" applyFont="1" applyFill="1" applyBorder="1" applyAlignment="1">
      <alignment horizontal="center"/>
    </xf>
    <xf numFmtId="10" fontId="10" fillId="22" borderId="26" xfId="0" applyNumberFormat="1" applyFont="1" applyFill="1" applyBorder="1" applyAlignment="1">
      <alignment horizontal="center"/>
    </xf>
    <xf numFmtId="10" fontId="10" fillId="22" borderId="25" xfId="0" applyNumberFormat="1" applyFont="1" applyFill="1" applyBorder="1" applyAlignment="1">
      <alignment horizontal="center"/>
    </xf>
    <xf numFmtId="10" fontId="10" fillId="22" borderId="24" xfId="0" applyNumberFormat="1" applyFont="1" applyFill="1" applyBorder="1" applyAlignment="1">
      <alignment horizontal="center"/>
    </xf>
    <xf numFmtId="164" fontId="11" fillId="22" borderId="36" xfId="0" applyNumberFormat="1" applyFont="1" applyFill="1" applyBorder="1" applyAlignment="1">
      <alignment horizontal="center"/>
    </xf>
    <xf numFmtId="164" fontId="11" fillId="22" borderId="35" xfId="0" applyNumberFormat="1" applyFont="1" applyFill="1" applyBorder="1" applyAlignment="1">
      <alignment horizontal="center"/>
    </xf>
    <xf numFmtId="164" fontId="11" fillId="22" borderId="31" xfId="0" applyNumberFormat="1" applyFont="1" applyFill="1" applyBorder="1" applyAlignment="1">
      <alignment horizontal="center"/>
    </xf>
    <xf numFmtId="164" fontId="11" fillId="22" borderId="30" xfId="0" applyNumberFormat="1" applyFont="1" applyFill="1" applyBorder="1" applyAlignment="1">
      <alignment horizontal="center"/>
    </xf>
    <xf numFmtId="164" fontId="11" fillId="22" borderId="43" xfId="0" applyNumberFormat="1" applyFont="1" applyFill="1" applyBorder="1" applyAlignment="1">
      <alignment horizontal="center"/>
    </xf>
    <xf numFmtId="164" fontId="11" fillId="22" borderId="42" xfId="0" applyNumberFormat="1" applyFont="1" applyFill="1" applyBorder="1" applyAlignment="1">
      <alignment horizontal="center"/>
    </xf>
    <xf numFmtId="164" fontId="11" fillId="22" borderId="41" xfId="0" applyNumberFormat="1" applyFont="1" applyFill="1" applyBorder="1" applyAlignment="1">
      <alignment horizontal="center"/>
    </xf>
    <xf numFmtId="164" fontId="11" fillId="22" borderId="34" xfId="0" applyNumberFormat="1" applyFont="1" applyFill="1" applyBorder="1" applyAlignment="1">
      <alignment horizontal="center"/>
    </xf>
    <xf numFmtId="164" fontId="11" fillId="22" borderId="64" xfId="0" applyNumberFormat="1" applyFont="1" applyFill="1" applyBorder="1" applyAlignment="1">
      <alignment horizontal="center"/>
    </xf>
    <xf numFmtId="164" fontId="11" fillId="22" borderId="65" xfId="0" applyNumberFormat="1" applyFont="1" applyFill="1" applyBorder="1" applyAlignment="1">
      <alignment horizontal="center"/>
    </xf>
    <xf numFmtId="164" fontId="11" fillId="22" borderId="66" xfId="0" applyNumberFormat="1" applyFont="1" applyFill="1" applyBorder="1" applyAlignment="1">
      <alignment horizontal="center"/>
    </xf>
    <xf numFmtId="0" fontId="19" fillId="23" borderId="53" xfId="0" applyFont="1" applyFill="1" applyBorder="1"/>
    <xf numFmtId="0" fontId="10" fillId="23" borderId="36" xfId="0" applyFont="1" applyFill="1" applyBorder="1"/>
    <xf numFmtId="0" fontId="10" fillId="23" borderId="31" xfId="0" applyFont="1" applyFill="1" applyBorder="1"/>
    <xf numFmtId="0" fontId="10" fillId="23" borderId="39" xfId="0" applyFont="1" applyFill="1" applyBorder="1"/>
    <xf numFmtId="0" fontId="10" fillId="23" borderId="9" xfId="0" applyFont="1" applyFill="1" applyBorder="1"/>
    <xf numFmtId="0" fontId="10" fillId="23" borderId="43" xfId="0" applyFont="1" applyFill="1" applyBorder="1" applyAlignment="1">
      <alignment horizontal="center"/>
    </xf>
    <xf numFmtId="0" fontId="10" fillId="23" borderId="42" xfId="0" applyFont="1" applyFill="1" applyBorder="1" applyAlignment="1">
      <alignment horizontal="center"/>
    </xf>
    <xf numFmtId="0" fontId="10" fillId="23" borderId="52" xfId="0" applyFont="1" applyFill="1" applyBorder="1" applyAlignment="1">
      <alignment horizontal="center"/>
    </xf>
    <xf numFmtId="0" fontId="10" fillId="23" borderId="41" xfId="0" applyFont="1" applyFill="1" applyBorder="1" applyAlignment="1">
      <alignment horizontal="center"/>
    </xf>
    <xf numFmtId="164" fontId="11" fillId="23" borderId="43" xfId="0" applyNumberFormat="1" applyFont="1" applyFill="1" applyBorder="1" applyAlignment="1">
      <alignment horizontal="center"/>
    </xf>
    <xf numFmtId="164" fontId="11" fillId="23" borderId="42" xfId="0" applyNumberFormat="1" applyFont="1" applyFill="1" applyBorder="1" applyAlignment="1">
      <alignment horizontal="center"/>
    </xf>
    <xf numFmtId="164" fontId="11" fillId="23" borderId="41" xfId="0" applyNumberFormat="1" applyFont="1" applyFill="1" applyBorder="1" applyAlignment="1">
      <alignment horizontal="center"/>
    </xf>
    <xf numFmtId="2" fontId="10" fillId="23" borderId="36" xfId="0" applyNumberFormat="1" applyFont="1" applyFill="1" applyBorder="1" applyAlignment="1">
      <alignment horizontal="center"/>
    </xf>
    <xf numFmtId="2" fontId="10" fillId="23" borderId="35" xfId="0" applyNumberFormat="1" applyFont="1" applyFill="1" applyBorder="1" applyAlignment="1">
      <alignment horizontal="center"/>
    </xf>
    <xf numFmtId="2" fontId="10" fillId="23" borderId="37" xfId="0" applyNumberFormat="1" applyFont="1" applyFill="1" applyBorder="1" applyAlignment="1">
      <alignment horizontal="center"/>
    </xf>
    <xf numFmtId="2" fontId="10" fillId="23" borderId="34" xfId="0" applyNumberFormat="1" applyFont="1" applyFill="1" applyBorder="1" applyAlignment="1">
      <alignment horizontal="center"/>
    </xf>
    <xf numFmtId="164" fontId="11" fillId="23" borderId="36" xfId="0" applyNumberFormat="1" applyFont="1" applyFill="1" applyBorder="1" applyAlignment="1">
      <alignment horizontal="center"/>
    </xf>
    <xf numFmtId="164" fontId="11" fillId="23" borderId="35" xfId="0" applyNumberFormat="1" applyFont="1" applyFill="1" applyBorder="1" applyAlignment="1">
      <alignment horizontal="center"/>
    </xf>
    <xf numFmtId="164" fontId="11" fillId="23" borderId="34" xfId="0" applyNumberFormat="1" applyFont="1" applyFill="1" applyBorder="1" applyAlignment="1">
      <alignment horizontal="center"/>
    </xf>
    <xf numFmtId="10" fontId="10" fillId="23" borderId="26" xfId="0" applyNumberFormat="1" applyFont="1" applyFill="1" applyBorder="1" applyAlignment="1">
      <alignment horizontal="center"/>
    </xf>
    <xf numFmtId="10" fontId="10" fillId="23" borderId="25" xfId="0" applyNumberFormat="1" applyFont="1" applyFill="1" applyBorder="1" applyAlignment="1">
      <alignment horizontal="center"/>
    </xf>
    <xf numFmtId="10" fontId="10" fillId="23" borderId="24" xfId="0" applyNumberFormat="1" applyFont="1" applyFill="1" applyBorder="1" applyAlignment="1">
      <alignment horizontal="center"/>
    </xf>
    <xf numFmtId="164" fontId="11" fillId="23" borderId="64" xfId="0" applyNumberFormat="1" applyFont="1" applyFill="1" applyBorder="1" applyAlignment="1">
      <alignment horizontal="center"/>
    </xf>
    <xf numFmtId="164" fontId="11" fillId="23" borderId="65" xfId="0" applyNumberFormat="1" applyFont="1" applyFill="1" applyBorder="1" applyAlignment="1">
      <alignment horizontal="center"/>
    </xf>
    <xf numFmtId="164" fontId="11" fillId="23" borderId="66" xfId="0" applyNumberFormat="1" applyFont="1" applyFill="1" applyBorder="1" applyAlignment="1">
      <alignment horizontal="center"/>
    </xf>
    <xf numFmtId="0" fontId="14" fillId="0" borderId="21" xfId="0" applyFont="1" applyBorder="1" applyAlignment="1">
      <alignment horizontal="center"/>
    </xf>
    <xf numFmtId="164" fontId="13" fillId="9" borderId="67" xfId="0" applyNumberFormat="1" applyFont="1" applyFill="1" applyBorder="1" applyAlignment="1">
      <alignment horizontal="center" vertical="center"/>
    </xf>
    <xf numFmtId="164" fontId="13" fillId="9" borderId="28" xfId="0" applyNumberFormat="1" applyFont="1" applyFill="1" applyBorder="1" applyAlignment="1">
      <alignment horizontal="center" vertical="center"/>
    </xf>
    <xf numFmtId="164" fontId="11" fillId="9" borderId="33" xfId="0" applyNumberFormat="1" applyFont="1" applyFill="1" applyBorder="1" applyAlignment="1">
      <alignment horizontal="center"/>
    </xf>
    <xf numFmtId="164" fontId="13" fillId="12" borderId="67" xfId="0" applyNumberFormat="1" applyFont="1" applyFill="1" applyBorder="1" applyAlignment="1">
      <alignment horizontal="center" vertical="center"/>
    </xf>
    <xf numFmtId="164" fontId="13" fillId="12" borderId="28" xfId="0" applyNumberFormat="1" applyFont="1" applyFill="1" applyBorder="1" applyAlignment="1">
      <alignment horizontal="center" vertical="center"/>
    </xf>
    <xf numFmtId="164" fontId="11" fillId="12" borderId="38" xfId="0" applyNumberFormat="1" applyFont="1" applyFill="1" applyBorder="1" applyAlignment="1">
      <alignment horizontal="center"/>
    </xf>
    <xf numFmtId="164" fontId="11" fillId="12" borderId="33" xfId="0" applyNumberFormat="1" applyFont="1" applyFill="1" applyBorder="1" applyAlignment="1">
      <alignment horizontal="center"/>
    </xf>
    <xf numFmtId="164" fontId="13" fillId="8" borderId="67" xfId="0" applyNumberFormat="1" applyFont="1" applyFill="1" applyBorder="1" applyAlignment="1">
      <alignment horizontal="center" vertical="center"/>
    </xf>
    <xf numFmtId="164" fontId="13" fillId="8" borderId="28" xfId="0" applyNumberFormat="1" applyFont="1" applyFill="1" applyBorder="1" applyAlignment="1">
      <alignment horizontal="center" vertical="center"/>
    </xf>
    <xf numFmtId="164" fontId="11" fillId="8" borderId="38" xfId="0" applyNumberFormat="1" applyFont="1" applyFill="1" applyBorder="1" applyAlignment="1">
      <alignment horizontal="center"/>
    </xf>
    <xf numFmtId="164" fontId="11" fillId="8" borderId="33" xfId="0" applyNumberFormat="1" applyFont="1" applyFill="1" applyBorder="1" applyAlignment="1">
      <alignment horizontal="center"/>
    </xf>
    <xf numFmtId="164" fontId="13" fillId="11" borderId="67" xfId="0" applyNumberFormat="1" applyFont="1" applyFill="1" applyBorder="1" applyAlignment="1">
      <alignment horizontal="center" vertical="center"/>
    </xf>
    <xf numFmtId="164" fontId="13" fillId="11" borderId="28" xfId="0" applyNumberFormat="1" applyFont="1" applyFill="1" applyBorder="1" applyAlignment="1">
      <alignment horizontal="center" vertical="center"/>
    </xf>
    <xf numFmtId="164" fontId="11" fillId="11" borderId="38" xfId="0" applyNumberFormat="1" applyFont="1" applyFill="1" applyBorder="1" applyAlignment="1">
      <alignment horizontal="center"/>
    </xf>
    <xf numFmtId="164" fontId="11" fillId="11" borderId="33" xfId="0" applyNumberFormat="1" applyFont="1" applyFill="1" applyBorder="1" applyAlignment="1">
      <alignment horizontal="center"/>
    </xf>
    <xf numFmtId="0" fontId="14" fillId="2" borderId="23" xfId="2" applyFont="1" applyFill="1" applyBorder="1" applyAlignment="1">
      <alignment horizontal="left"/>
    </xf>
    <xf numFmtId="0" fontId="14" fillId="2" borderId="23" xfId="2" applyFont="1" applyFill="1" applyBorder="1" applyAlignment="1">
      <alignment horizontal="center"/>
    </xf>
    <xf numFmtId="0" fontId="14" fillId="2" borderId="22" xfId="2" applyFont="1" applyFill="1" applyBorder="1" applyAlignment="1">
      <alignment horizontal="center"/>
    </xf>
    <xf numFmtId="0" fontId="14" fillId="2" borderId="21" xfId="2" applyFont="1" applyFill="1" applyBorder="1" applyAlignment="1">
      <alignment horizontal="center"/>
    </xf>
    <xf numFmtId="0" fontId="10" fillId="0" borderId="23" xfId="0" applyFont="1" applyBorder="1"/>
    <xf numFmtId="164" fontId="11" fillId="9" borderId="73" xfId="0" applyNumberFormat="1" applyFont="1" applyFill="1" applyBorder="1" applyAlignment="1">
      <alignment horizontal="center"/>
    </xf>
    <xf numFmtId="164" fontId="13" fillId="21" borderId="44" xfId="0" applyNumberFormat="1" applyFont="1" applyFill="1" applyBorder="1" applyAlignment="1">
      <alignment horizontal="center" vertical="center"/>
    </xf>
    <xf numFmtId="164" fontId="13" fillId="21" borderId="24" xfId="0" applyNumberFormat="1" applyFont="1" applyFill="1" applyBorder="1" applyAlignment="1">
      <alignment horizontal="center" vertical="center"/>
    </xf>
    <xf numFmtId="164" fontId="11" fillId="21" borderId="29" xfId="0" applyNumberFormat="1" applyFont="1" applyFill="1" applyBorder="1" applyAlignment="1">
      <alignment horizontal="center"/>
    </xf>
    <xf numFmtId="164" fontId="11" fillId="22" borderId="29" xfId="0" applyNumberFormat="1" applyFont="1" applyFill="1" applyBorder="1" applyAlignment="1">
      <alignment horizontal="center"/>
    </xf>
    <xf numFmtId="0" fontId="10" fillId="9" borderId="3" xfId="0" applyFont="1" applyFill="1" applyBorder="1" applyAlignment="1"/>
    <xf numFmtId="0" fontId="10" fillId="9" borderId="3" xfId="0" applyFont="1" applyFill="1" applyBorder="1" applyAlignment="1">
      <alignment horizontal="center"/>
    </xf>
    <xf numFmtId="0" fontId="10" fillId="21" borderId="55" xfId="0" applyFont="1" applyFill="1" applyBorder="1" applyAlignment="1"/>
    <xf numFmtId="0" fontId="10" fillId="21" borderId="61" xfId="0" applyFont="1" applyFill="1" applyBorder="1" applyAlignment="1"/>
    <xf numFmtId="0" fontId="10" fillId="21" borderId="5" xfId="0" applyFont="1" applyFill="1" applyBorder="1" applyAlignment="1">
      <alignment horizontal="center"/>
    </xf>
    <xf numFmtId="0" fontId="10" fillId="21" borderId="3" xfId="0" applyFont="1" applyFill="1" applyBorder="1" applyAlignment="1">
      <alignment horizontal="center"/>
    </xf>
    <xf numFmtId="2" fontId="43" fillId="9" borderId="36" xfId="0" applyNumberFormat="1" applyFont="1" applyFill="1" applyBorder="1" applyAlignment="1">
      <alignment horizontal="center"/>
    </xf>
    <xf numFmtId="2" fontId="43" fillId="9" borderId="12" xfId="0" applyNumberFormat="1" applyFont="1" applyFill="1" applyBorder="1" applyAlignment="1">
      <alignment horizontal="center"/>
    </xf>
    <xf numFmtId="2" fontId="43" fillId="9" borderId="34" xfId="0" applyNumberFormat="1" applyFont="1" applyFill="1" applyBorder="1" applyAlignment="1">
      <alignment horizontal="center"/>
    </xf>
    <xf numFmtId="165" fontId="43" fillId="9" borderId="57" xfId="0" applyNumberFormat="1" applyFont="1" applyFill="1" applyBorder="1" applyAlignment="1">
      <alignment horizontal="center"/>
    </xf>
    <xf numFmtId="165" fontId="43" fillId="9" borderId="13" xfId="0" applyNumberFormat="1" applyFont="1" applyFill="1" applyBorder="1" applyAlignment="1">
      <alignment horizontal="center"/>
    </xf>
    <xf numFmtId="165" fontId="43" fillId="9" borderId="48" xfId="0" applyNumberFormat="1" applyFont="1" applyFill="1" applyBorder="1" applyAlignment="1">
      <alignment horizontal="center"/>
    </xf>
    <xf numFmtId="0" fontId="44" fillId="9" borderId="5" xfId="0" applyFont="1" applyFill="1" applyBorder="1" applyAlignment="1">
      <alignment horizontal="center"/>
    </xf>
    <xf numFmtId="0" fontId="44" fillId="9" borderId="4" xfId="0" applyFont="1" applyFill="1" applyBorder="1" applyAlignment="1">
      <alignment horizontal="center"/>
    </xf>
    <xf numFmtId="0" fontId="44" fillId="9" borderId="3" xfId="0" applyFont="1" applyFill="1" applyBorder="1" applyAlignment="1">
      <alignment horizontal="center"/>
    </xf>
    <xf numFmtId="2" fontId="43" fillId="9" borderId="37" xfId="0" applyNumberFormat="1" applyFont="1" applyFill="1" applyBorder="1" applyAlignment="1">
      <alignment horizontal="center"/>
    </xf>
    <xf numFmtId="165" fontId="43" fillId="9" borderId="31" xfId="0" applyNumberFormat="1" applyFont="1" applyFill="1" applyBorder="1" applyAlignment="1">
      <alignment horizontal="center"/>
    </xf>
    <xf numFmtId="165" fontId="43" fillId="9" borderId="32" xfId="0" applyNumberFormat="1" applyFont="1" applyFill="1" applyBorder="1" applyAlignment="1">
      <alignment horizontal="center"/>
    </xf>
    <xf numFmtId="165" fontId="43" fillId="9" borderId="29" xfId="0" applyNumberFormat="1" applyFont="1" applyFill="1" applyBorder="1" applyAlignment="1">
      <alignment horizontal="center"/>
    </xf>
    <xf numFmtId="2" fontId="43" fillId="21" borderId="36" xfId="0" applyNumberFormat="1" applyFont="1" applyFill="1" applyBorder="1" applyAlignment="1">
      <alignment horizontal="center"/>
    </xf>
    <xf numFmtId="2" fontId="43" fillId="21" borderId="12" xfId="0" applyNumberFormat="1" applyFont="1" applyFill="1" applyBorder="1" applyAlignment="1">
      <alignment horizontal="center"/>
    </xf>
    <xf numFmtId="2" fontId="43" fillId="21" borderId="34" xfId="0" applyNumberFormat="1" applyFont="1" applyFill="1" applyBorder="1" applyAlignment="1">
      <alignment horizontal="center"/>
    </xf>
    <xf numFmtId="165" fontId="43" fillId="21" borderId="31" xfId="0" applyNumberFormat="1" applyFont="1" applyFill="1" applyBorder="1" applyAlignment="1">
      <alignment horizontal="center"/>
    </xf>
    <xf numFmtId="165" fontId="43" fillId="21" borderId="11" xfId="0" applyNumberFormat="1" applyFont="1" applyFill="1" applyBorder="1" applyAlignment="1">
      <alignment horizontal="center"/>
    </xf>
    <xf numFmtId="165" fontId="43" fillId="21" borderId="29" xfId="0" applyNumberFormat="1" applyFont="1" applyFill="1" applyBorder="1" applyAlignment="1">
      <alignment horizontal="center"/>
    </xf>
    <xf numFmtId="0" fontId="44" fillId="21" borderId="5" xfId="0" applyFont="1" applyFill="1" applyBorder="1" applyAlignment="1">
      <alignment horizontal="center"/>
    </xf>
    <xf numFmtId="0" fontId="44" fillId="21" borderId="4" xfId="0" applyFont="1" applyFill="1" applyBorder="1" applyAlignment="1">
      <alignment horizontal="center"/>
    </xf>
    <xf numFmtId="0" fontId="44" fillId="21" borderId="3" xfId="0" applyFont="1" applyFill="1" applyBorder="1" applyAlignment="1">
      <alignment horizontal="center"/>
    </xf>
    <xf numFmtId="2" fontId="43" fillId="21" borderId="37" xfId="0" applyNumberFormat="1" applyFont="1" applyFill="1" applyBorder="1" applyAlignment="1">
      <alignment horizontal="center"/>
    </xf>
    <xf numFmtId="165" fontId="43" fillId="21" borderId="32" xfId="0" applyNumberFormat="1" applyFont="1" applyFill="1" applyBorder="1" applyAlignment="1">
      <alignment horizontal="center"/>
    </xf>
    <xf numFmtId="0" fontId="44" fillId="8" borderId="5" xfId="0" applyFont="1" applyFill="1" applyBorder="1" applyAlignment="1"/>
    <xf numFmtId="0" fontId="44" fillId="8" borderId="4" xfId="0" applyFont="1" applyFill="1" applyBorder="1" applyAlignment="1"/>
    <xf numFmtId="0" fontId="44" fillId="8" borderId="3" xfId="0" applyFont="1" applyFill="1" applyBorder="1" applyAlignment="1"/>
    <xf numFmtId="0" fontId="44" fillId="22" borderId="5" xfId="0" applyFont="1" applyFill="1" applyBorder="1" applyAlignment="1">
      <alignment horizontal="center"/>
    </xf>
    <xf numFmtId="0" fontId="44" fillId="22" borderId="4" xfId="0" applyFont="1" applyFill="1" applyBorder="1" applyAlignment="1">
      <alignment horizontal="center"/>
    </xf>
    <xf numFmtId="0" fontId="44" fillId="22" borderId="3" xfId="0" applyFont="1" applyFill="1" applyBorder="1" applyAlignment="1">
      <alignment horizontal="center"/>
    </xf>
    <xf numFmtId="2" fontId="43" fillId="22" borderId="36" xfId="0" applyNumberFormat="1" applyFont="1" applyFill="1" applyBorder="1" applyAlignment="1">
      <alignment horizontal="center"/>
    </xf>
    <xf numFmtId="2" fontId="43" fillId="22" borderId="12" xfId="0" applyNumberFormat="1" applyFont="1" applyFill="1" applyBorder="1" applyAlignment="1">
      <alignment horizontal="center"/>
    </xf>
    <xf numFmtId="2" fontId="43" fillId="22" borderId="34" xfId="0" applyNumberFormat="1" applyFont="1" applyFill="1" applyBorder="1" applyAlignment="1">
      <alignment horizontal="center"/>
    </xf>
    <xf numFmtId="165" fontId="43" fillId="22" borderId="31" xfId="0" applyNumberFormat="1" applyFont="1" applyFill="1" applyBorder="1" applyAlignment="1">
      <alignment horizontal="center"/>
    </xf>
    <xf numFmtId="165" fontId="43" fillId="22" borderId="11" xfId="0" applyNumberFormat="1" applyFont="1" applyFill="1" applyBorder="1" applyAlignment="1">
      <alignment horizontal="center"/>
    </xf>
    <xf numFmtId="165" fontId="43" fillId="22" borderId="29" xfId="0" applyNumberFormat="1" applyFont="1" applyFill="1" applyBorder="1" applyAlignment="1">
      <alignment horizontal="center"/>
    </xf>
    <xf numFmtId="2" fontId="43" fillId="22" borderId="37" xfId="0" applyNumberFormat="1" applyFont="1" applyFill="1" applyBorder="1" applyAlignment="1">
      <alignment horizontal="center"/>
    </xf>
    <xf numFmtId="165" fontId="43" fillId="22" borderId="32" xfId="0" applyNumberFormat="1" applyFont="1" applyFill="1" applyBorder="1" applyAlignment="1">
      <alignment horizontal="center"/>
    </xf>
    <xf numFmtId="0" fontId="44" fillId="11" borderId="5" xfId="0" applyFont="1" applyFill="1" applyBorder="1" applyAlignment="1"/>
    <xf numFmtId="0" fontId="44" fillId="11" borderId="4" xfId="0" applyFont="1" applyFill="1" applyBorder="1" applyAlignment="1"/>
    <xf numFmtId="0" fontId="44" fillId="11" borderId="3" xfId="0" applyFont="1" applyFill="1" applyBorder="1" applyAlignment="1"/>
    <xf numFmtId="0" fontId="45" fillId="11" borderId="5" xfId="0" applyFont="1" applyFill="1" applyBorder="1" applyAlignment="1">
      <alignment horizontal="center"/>
    </xf>
    <xf numFmtId="0" fontId="45" fillId="11" borderId="4" xfId="0" applyFont="1" applyFill="1" applyBorder="1" applyAlignment="1">
      <alignment horizontal="center"/>
    </xf>
    <xf numFmtId="0" fontId="45" fillId="11" borderId="3" xfId="0" applyFont="1" applyFill="1" applyBorder="1" applyAlignment="1">
      <alignment horizontal="center"/>
    </xf>
    <xf numFmtId="2" fontId="43" fillId="11" borderId="36" xfId="0" applyNumberFormat="1" applyFont="1" applyFill="1" applyBorder="1" applyAlignment="1">
      <alignment horizontal="center"/>
    </xf>
    <xf numFmtId="2" fontId="43" fillId="11" borderId="37" xfId="0" applyNumberFormat="1" applyFont="1" applyFill="1" applyBorder="1" applyAlignment="1">
      <alignment horizontal="center"/>
    </xf>
    <xf numFmtId="2" fontId="43" fillId="11" borderId="34" xfId="0" applyNumberFormat="1" applyFont="1" applyFill="1" applyBorder="1" applyAlignment="1">
      <alignment horizontal="center"/>
    </xf>
    <xf numFmtId="165" fontId="43" fillId="11" borderId="31" xfId="0" applyNumberFormat="1" applyFont="1" applyFill="1" applyBorder="1" applyAlignment="1">
      <alignment horizontal="center"/>
    </xf>
    <xf numFmtId="165" fontId="43" fillId="11" borderId="32" xfId="0" applyNumberFormat="1" applyFont="1" applyFill="1" applyBorder="1" applyAlignment="1">
      <alignment horizontal="center"/>
    </xf>
    <xf numFmtId="165" fontId="43" fillId="11" borderId="29" xfId="0" applyNumberFormat="1" applyFont="1" applyFill="1" applyBorder="1" applyAlignment="1">
      <alignment horizontal="center"/>
    </xf>
    <xf numFmtId="0" fontId="44" fillId="23" borderId="5" xfId="0" applyFont="1" applyFill="1" applyBorder="1" applyAlignment="1">
      <alignment horizontal="center"/>
    </xf>
    <xf numFmtId="0" fontId="44" fillId="23" borderId="4" xfId="0" applyFont="1" applyFill="1" applyBorder="1" applyAlignment="1">
      <alignment horizontal="center"/>
    </xf>
    <xf numFmtId="0" fontId="44" fillId="23" borderId="3" xfId="0" applyFont="1" applyFill="1" applyBorder="1" applyAlignment="1">
      <alignment horizontal="center"/>
    </xf>
    <xf numFmtId="2" fontId="43" fillId="23" borderId="36" xfId="0" applyNumberFormat="1" applyFont="1" applyFill="1" applyBorder="1" applyAlignment="1">
      <alignment horizontal="center"/>
    </xf>
    <xf numFmtId="2" fontId="43" fillId="23" borderId="37" xfId="0" applyNumberFormat="1" applyFont="1" applyFill="1" applyBorder="1" applyAlignment="1">
      <alignment horizontal="center"/>
    </xf>
    <xf numFmtId="2" fontId="43" fillId="23" borderId="34" xfId="0" applyNumberFormat="1" applyFont="1" applyFill="1" applyBorder="1" applyAlignment="1">
      <alignment horizontal="center"/>
    </xf>
    <xf numFmtId="165" fontId="43" fillId="23" borderId="26" xfId="0" applyNumberFormat="1" applyFont="1" applyFill="1" applyBorder="1" applyAlignment="1">
      <alignment horizontal="center"/>
    </xf>
    <xf numFmtId="165" fontId="43" fillId="23" borderId="27" xfId="0" applyNumberFormat="1" applyFont="1" applyFill="1" applyBorder="1" applyAlignment="1">
      <alignment horizontal="center"/>
    </xf>
    <xf numFmtId="165" fontId="43" fillId="23" borderId="24" xfId="0" applyNumberFormat="1" applyFont="1" applyFill="1" applyBorder="1" applyAlignment="1">
      <alignment horizontal="center"/>
    </xf>
    <xf numFmtId="165" fontId="43" fillId="22" borderId="26" xfId="0" applyNumberFormat="1" applyFont="1" applyFill="1" applyBorder="1" applyAlignment="1">
      <alignment horizontal="center"/>
    </xf>
    <xf numFmtId="165" fontId="43" fillId="22" borderId="27" xfId="0" applyNumberFormat="1" applyFont="1" applyFill="1" applyBorder="1" applyAlignment="1">
      <alignment horizontal="center"/>
    </xf>
    <xf numFmtId="165" fontId="43" fillId="22" borderId="24" xfId="0" applyNumberFormat="1" applyFont="1" applyFill="1" applyBorder="1" applyAlignment="1">
      <alignment horizontal="center"/>
    </xf>
    <xf numFmtId="164" fontId="46" fillId="9" borderId="69" xfId="0" applyNumberFormat="1" applyFont="1" applyFill="1" applyBorder="1" applyAlignment="1">
      <alignment horizontal="center"/>
    </xf>
    <xf numFmtId="164" fontId="46" fillId="9" borderId="70" xfId="0" applyNumberFormat="1" applyFont="1" applyFill="1" applyBorder="1" applyAlignment="1">
      <alignment horizontal="center"/>
    </xf>
    <xf numFmtId="164" fontId="46" fillId="9" borderId="53" xfId="0" applyNumberFormat="1" applyFont="1" applyFill="1" applyBorder="1" applyAlignment="1">
      <alignment horizontal="center"/>
    </xf>
    <xf numFmtId="164" fontId="46" fillId="9" borderId="71" xfId="0" applyNumberFormat="1" applyFont="1" applyFill="1" applyBorder="1" applyAlignment="1">
      <alignment horizontal="center"/>
    </xf>
    <xf numFmtId="164" fontId="47" fillId="21" borderId="68" xfId="0" applyNumberFormat="1" applyFont="1" applyFill="1" applyBorder="1" applyAlignment="1">
      <alignment horizontal="center" vertical="center"/>
    </xf>
    <xf numFmtId="0" fontId="47" fillId="21" borderId="40" xfId="0" applyFont="1" applyFill="1" applyBorder="1" applyAlignment="1">
      <alignment horizontal="center" vertical="center"/>
    </xf>
    <xf numFmtId="164" fontId="46" fillId="21" borderId="69" xfId="0" applyNumberFormat="1" applyFont="1" applyFill="1" applyBorder="1" applyAlignment="1">
      <alignment horizontal="center"/>
    </xf>
    <xf numFmtId="164" fontId="46" fillId="21" borderId="71" xfId="0" applyNumberFormat="1" applyFont="1" applyFill="1" applyBorder="1" applyAlignment="1">
      <alignment horizontal="center"/>
    </xf>
    <xf numFmtId="164" fontId="46" fillId="21" borderId="53" xfId="0" applyNumberFormat="1" applyFont="1" applyFill="1" applyBorder="1" applyAlignment="1">
      <alignment horizontal="center"/>
    </xf>
    <xf numFmtId="164" fontId="47" fillId="8" borderId="47" xfId="0" applyNumberFormat="1" applyFont="1" applyFill="1" applyBorder="1" applyAlignment="1">
      <alignment horizontal="center" vertical="center"/>
    </xf>
    <xf numFmtId="0" fontId="47" fillId="8" borderId="40" xfId="0" applyFont="1" applyFill="1" applyBorder="1" applyAlignment="1">
      <alignment horizontal="center" vertical="center"/>
    </xf>
    <xf numFmtId="164" fontId="46" fillId="22" borderId="69" xfId="0" applyNumberFormat="1" applyFont="1" applyFill="1" applyBorder="1" applyAlignment="1">
      <alignment horizontal="center"/>
    </xf>
    <xf numFmtId="164" fontId="46" fillId="22" borderId="71" xfId="0" applyNumberFormat="1" applyFont="1" applyFill="1" applyBorder="1" applyAlignment="1">
      <alignment horizontal="center"/>
    </xf>
    <xf numFmtId="164" fontId="46" fillId="22" borderId="53" xfId="0" applyNumberFormat="1" applyFont="1" applyFill="1" applyBorder="1" applyAlignment="1">
      <alignment horizontal="center"/>
    </xf>
    <xf numFmtId="164" fontId="47" fillId="11" borderId="47" xfId="0" applyNumberFormat="1" applyFont="1" applyFill="1" applyBorder="1" applyAlignment="1">
      <alignment horizontal="center" vertical="center"/>
    </xf>
    <xf numFmtId="0" fontId="47" fillId="11" borderId="40" xfId="0" applyFont="1" applyFill="1" applyBorder="1" applyAlignment="1">
      <alignment horizontal="center" vertical="center"/>
    </xf>
    <xf numFmtId="164" fontId="46" fillId="11" borderId="69" xfId="0" applyNumberFormat="1" applyFont="1" applyFill="1" applyBorder="1" applyAlignment="1">
      <alignment horizontal="center"/>
    </xf>
    <xf numFmtId="164" fontId="46" fillId="11" borderId="71" xfId="0" applyNumberFormat="1" applyFont="1" applyFill="1" applyBorder="1" applyAlignment="1">
      <alignment horizontal="center"/>
    </xf>
    <xf numFmtId="164" fontId="46" fillId="23" borderId="53" xfId="0" applyNumberFormat="1" applyFont="1" applyFill="1" applyBorder="1" applyAlignment="1">
      <alignment horizontal="center"/>
    </xf>
    <xf numFmtId="164" fontId="46" fillId="23" borderId="69" xfId="0" applyNumberFormat="1" applyFont="1" applyFill="1" applyBorder="1" applyAlignment="1">
      <alignment horizontal="center"/>
    </xf>
    <xf numFmtId="164" fontId="46" fillId="23" borderId="72" xfId="0" applyNumberFormat="1" applyFont="1" applyFill="1" applyBorder="1" applyAlignment="1">
      <alignment horizontal="center"/>
    </xf>
    <xf numFmtId="0" fontId="28" fillId="14" borderId="23" xfId="0" applyFont="1" applyFill="1" applyBorder="1" applyAlignment="1" applyProtection="1">
      <alignment horizontal="center" vertical="center"/>
      <protection locked="0"/>
    </xf>
    <xf numFmtId="0" fontId="28" fillId="14" borderId="22" xfId="0" applyFont="1" applyFill="1" applyBorder="1" applyAlignment="1" applyProtection="1">
      <alignment horizontal="center" vertical="center"/>
      <protection locked="0"/>
    </xf>
    <xf numFmtId="0" fontId="28" fillId="14" borderId="21" xfId="0" applyFont="1" applyFill="1" applyBorder="1" applyAlignment="1" applyProtection="1">
      <alignment horizontal="center" vertical="center"/>
      <protection locked="0"/>
    </xf>
    <xf numFmtId="0" fontId="48" fillId="14" borderId="53" xfId="0" applyFont="1" applyFill="1" applyBorder="1" applyAlignment="1">
      <alignment horizontal="center"/>
    </xf>
    <xf numFmtId="0" fontId="48" fillId="14" borderId="47" xfId="0" applyFont="1" applyFill="1" applyBorder="1" applyAlignment="1">
      <alignment horizontal="center"/>
    </xf>
    <xf numFmtId="164" fontId="47" fillId="9" borderId="47" xfId="0" applyNumberFormat="1" applyFont="1" applyFill="1" applyBorder="1" applyAlignment="1">
      <alignment horizontal="center" vertical="center"/>
    </xf>
    <xf numFmtId="0" fontId="47" fillId="9" borderId="40" xfId="0" applyFont="1" applyFill="1" applyBorder="1" applyAlignment="1">
      <alignment horizontal="center" vertical="center"/>
    </xf>
  </cellXfs>
  <cellStyles count="4">
    <cellStyle name="Ausgabe" xfId="2" builtinId="21"/>
    <cellStyle name="Prozent" xfId="1" builtinId="5"/>
    <cellStyle name="Standard" xfId="0" builtinId="0"/>
    <cellStyle name="Zelle überprüfen" xfId="3" builtinId="23"/>
  </cellStyles>
  <dxfs count="3"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1"/>
      </font>
      <fill>
        <patternFill>
          <bgColor theme="5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Classic Call</a:t>
            </a:r>
            <a:r>
              <a:rPr lang="en-US" baseline="0"/>
              <a:t> - </a:t>
            </a:r>
            <a:r>
              <a:rPr lang="en-US"/>
              <a:t>Average POLQA MOS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6609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6609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1986-4A99-8946-2F84E72A8A02}"/>
              </c:ext>
            </c:extLst>
          </c:dPt>
          <c:dPt>
            <c:idx val="1"/>
            <c:invertIfNegative val="0"/>
            <c:bubble3D val="0"/>
            <c:spPr>
              <a:solidFill>
                <a:srgbClr val="36609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986-4A99-8946-2F84E72A8A02}"/>
              </c:ext>
            </c:extLst>
          </c:dPt>
          <c:dPt>
            <c:idx val="2"/>
            <c:invertIfNegative val="0"/>
            <c:bubble3D val="0"/>
            <c:spPr>
              <a:solidFill>
                <a:srgbClr val="36609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1986-4A99-8946-2F84E72A8A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MASTER!$C$17:$G$17</c:f>
              <c:strCache>
                <c:ptCount val="5"/>
                <c:pt idx="0">
                  <c:v>Operator1</c:v>
                </c:pt>
                <c:pt idx="1">
                  <c:v>Operator2</c:v>
                </c:pt>
                <c:pt idx="2">
                  <c:v>Operator3</c:v>
                </c:pt>
                <c:pt idx="3">
                  <c:v>Low Threshold</c:v>
                </c:pt>
                <c:pt idx="4">
                  <c:v>High Threshold</c:v>
                </c:pt>
              </c:strCache>
            </c:strRef>
          </c:cat>
          <c:val>
            <c:numRef>
              <c:f>MASTER!$C$22:$E$22</c:f>
              <c:numCache>
                <c:formatCode>0.00" [MOS]"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47-4548-BBC6-9BDA3CF186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57477504"/>
        <c:axId val="153158016"/>
      </c:barChart>
      <c:catAx>
        <c:axId val="15747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158016"/>
        <c:crosses val="autoZero"/>
        <c:auto val="1"/>
        <c:lblAlgn val="ctr"/>
        <c:lblOffset val="100"/>
        <c:noMultiLvlLbl val="0"/>
      </c:catAx>
      <c:valAx>
        <c:axId val="153158016"/>
        <c:scaling>
          <c:orientation val="minMax"/>
          <c:min val="1"/>
        </c:scaling>
        <c:delete val="1"/>
        <c:axPos val="l"/>
        <c:numFmt formatCode="0.00&quot; [MOS]&quot;" sourceLinked="1"/>
        <c:majorTickMark val="out"/>
        <c:minorTickMark val="none"/>
        <c:tickLblPos val="none"/>
        <c:crossAx val="15747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Classic Call - POLQA</a:t>
            </a:r>
            <a:r>
              <a:rPr lang="en-US" baseline="0"/>
              <a:t> MOS &lt; 1.6 Ratio [%]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6609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CED-4047-ABE8-B35105B0529E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CED-4047-ABE8-B35105B0529E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CED-4047-ABE8-B35105B0529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MASTER!$C$17:$G$17</c:f>
              <c:strCache>
                <c:ptCount val="5"/>
                <c:pt idx="0">
                  <c:v>Operator1</c:v>
                </c:pt>
                <c:pt idx="1">
                  <c:v>Operator2</c:v>
                </c:pt>
                <c:pt idx="2">
                  <c:v>Operator3</c:v>
                </c:pt>
                <c:pt idx="3">
                  <c:v>Low Threshold</c:v>
                </c:pt>
                <c:pt idx="4">
                  <c:v>High Threshold</c:v>
                </c:pt>
              </c:strCache>
            </c:strRef>
          </c:cat>
          <c:val>
            <c:numRef>
              <c:f>MASTER!$C$20:$E$20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4-483E-AB1E-9F61BCE644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53183744"/>
        <c:axId val="153185280"/>
      </c:barChart>
      <c:catAx>
        <c:axId val="15318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185280"/>
        <c:crosses val="autoZero"/>
        <c:auto val="1"/>
        <c:lblAlgn val="ctr"/>
        <c:lblOffset val="100"/>
        <c:noMultiLvlLbl val="0"/>
      </c:catAx>
      <c:valAx>
        <c:axId val="153185280"/>
        <c:scaling>
          <c:orientation val="minMax"/>
          <c:max val="0.15000000000000024"/>
          <c:min val="0"/>
        </c:scaling>
        <c:delete val="1"/>
        <c:axPos val="l"/>
        <c:numFmt formatCode="0.00%" sourceLinked="1"/>
        <c:majorTickMark val="none"/>
        <c:minorTickMark val="none"/>
        <c:tickLblPos val="none"/>
        <c:crossAx val="15318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WhatsApp Call </a:t>
            </a:r>
            <a:r>
              <a:rPr lang="en-US" baseline="0"/>
              <a:t>- </a:t>
            </a:r>
            <a:r>
              <a:rPr lang="en-US"/>
              <a:t>Average POLQA MOS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6609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412-4D2E-88A3-B076EE88C13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1412-4D2E-88A3-B076EE88C13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1412-4D2E-88A3-B076EE88C1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MASTER!$C$17:$G$17</c:f>
              <c:strCache>
                <c:ptCount val="5"/>
                <c:pt idx="0">
                  <c:v>Operator1</c:v>
                </c:pt>
                <c:pt idx="1">
                  <c:v>Operator2</c:v>
                </c:pt>
                <c:pt idx="2">
                  <c:v>Operator3</c:v>
                </c:pt>
                <c:pt idx="3">
                  <c:v>Low Threshold</c:v>
                </c:pt>
                <c:pt idx="4">
                  <c:v>High Threshold</c:v>
                </c:pt>
              </c:strCache>
            </c:strRef>
          </c:cat>
          <c:val>
            <c:numRef>
              <c:f>MASTER!$C$42:$E$42</c:f>
              <c:numCache>
                <c:formatCode>0.00" [MOS]"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62-4F4E-B14A-D8D86BFB92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53219456"/>
        <c:axId val="153220992"/>
      </c:barChart>
      <c:catAx>
        <c:axId val="153219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220992"/>
        <c:crosses val="autoZero"/>
        <c:auto val="1"/>
        <c:lblAlgn val="ctr"/>
        <c:lblOffset val="100"/>
        <c:noMultiLvlLbl val="0"/>
      </c:catAx>
      <c:valAx>
        <c:axId val="153220992"/>
        <c:scaling>
          <c:orientation val="minMax"/>
          <c:min val="1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&quot; [MOS]&quot;" sourceLinked="1"/>
        <c:majorTickMark val="out"/>
        <c:minorTickMark val="none"/>
        <c:tickLblPos val="none"/>
        <c:crossAx val="15321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WhatsApp Call - POLQA</a:t>
            </a:r>
            <a:r>
              <a:rPr lang="en-US" baseline="0"/>
              <a:t> MOS &lt; 1.6 Ratio [%]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6609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B6EF-4B04-81F6-A18866B6F93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B6EF-4B04-81F6-A18866B6F93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B6EF-4B04-81F6-A18866B6F93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MASTER!$C$17:$G$17</c:f>
              <c:strCache>
                <c:ptCount val="5"/>
                <c:pt idx="0">
                  <c:v>Operator1</c:v>
                </c:pt>
                <c:pt idx="1">
                  <c:v>Operator2</c:v>
                </c:pt>
                <c:pt idx="2">
                  <c:v>Operator3</c:v>
                </c:pt>
                <c:pt idx="3">
                  <c:v>Low Threshold</c:v>
                </c:pt>
                <c:pt idx="4">
                  <c:v>High Threshold</c:v>
                </c:pt>
              </c:strCache>
            </c:strRef>
          </c:cat>
          <c:val>
            <c:numRef>
              <c:f>MASTER!$C$40:$E$40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81-42BC-B01B-0B01CB6FFB3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axId val="153861120"/>
        <c:axId val="153862912"/>
      </c:barChart>
      <c:catAx>
        <c:axId val="15386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3862912"/>
        <c:crosses val="autoZero"/>
        <c:auto val="1"/>
        <c:lblAlgn val="ctr"/>
        <c:lblOffset val="100"/>
        <c:noMultiLvlLbl val="0"/>
      </c:catAx>
      <c:valAx>
        <c:axId val="153862912"/>
        <c:scaling>
          <c:orientation val="minMax"/>
          <c:max val="0.15000000000000024"/>
          <c:min val="0"/>
        </c:scaling>
        <c:delete val="1"/>
        <c:axPos val="l"/>
        <c:numFmt formatCode="0.00%" sourceLinked="1"/>
        <c:majorTickMark val="none"/>
        <c:minorTickMark val="none"/>
        <c:tickLblPos val="none"/>
        <c:crossAx val="153861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22512</xdr:colOff>
      <xdr:row>16</xdr:row>
      <xdr:rowOff>32655</xdr:rowOff>
    </xdr:from>
    <xdr:to>
      <xdr:col>12</xdr:col>
      <xdr:colOff>605145</xdr:colOff>
      <xdr:row>24</xdr:row>
      <xdr:rowOff>181594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7174</xdr:colOff>
      <xdr:row>25</xdr:row>
      <xdr:rowOff>53685</xdr:rowOff>
    </xdr:from>
    <xdr:to>
      <xdr:col>13</xdr:col>
      <xdr:colOff>171449</xdr:colOff>
      <xdr:row>34</xdr:row>
      <xdr:rowOff>136813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294410</xdr:colOff>
      <xdr:row>0</xdr:row>
      <xdr:rowOff>69273</xdr:rowOff>
    </xdr:from>
    <xdr:ext cx="2337955" cy="373832"/>
    <xdr:pic>
      <xdr:nvPicPr>
        <xdr:cNvPr id="4" name="Pictur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732810" y="69273"/>
          <a:ext cx="2337955" cy="37383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xdr:twoCellAnchor>
    <xdr:from>
      <xdr:col>7</xdr:col>
      <xdr:colOff>231322</xdr:colOff>
      <xdr:row>34</xdr:row>
      <xdr:rowOff>326572</xdr:rowOff>
    </xdr:from>
    <xdr:to>
      <xdr:col>13</xdr:col>
      <xdr:colOff>201633</xdr:colOff>
      <xdr:row>43</xdr:row>
      <xdr:rowOff>94511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149679</xdr:colOff>
      <xdr:row>43</xdr:row>
      <xdr:rowOff>244928</xdr:rowOff>
    </xdr:from>
    <xdr:to>
      <xdr:col>13</xdr:col>
      <xdr:colOff>313954</xdr:colOff>
      <xdr:row>59</xdr:row>
      <xdr:rowOff>137556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12</xdr:row>
          <xdr:rowOff>123825</xdr:rowOff>
        </xdr:from>
        <xdr:to>
          <xdr:col>3</xdr:col>
          <xdr:colOff>2495550</xdr:colOff>
          <xdr:row>13</xdr:row>
          <xdr:rowOff>295275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</a:rPr>
                <a:t>Apply Selected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85725</xdr:rowOff>
        </xdr:from>
        <xdr:to>
          <xdr:col>4</xdr:col>
          <xdr:colOff>19050</xdr:colOff>
          <xdr:row>1</xdr:row>
          <xdr:rowOff>238125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</a:rPr>
                <a:t>Initiate Filter Lists / Reset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12</xdr:row>
          <xdr:rowOff>142875</xdr:rowOff>
        </xdr:from>
        <xdr:to>
          <xdr:col>7</xdr:col>
          <xdr:colOff>781050</xdr:colOff>
          <xdr:row>13</xdr:row>
          <xdr:rowOff>257175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</a:rPr>
                <a:t>CALCULATE KPI-s WITH MANUAL FILTERING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17751</xdr:colOff>
      <xdr:row>0</xdr:row>
      <xdr:rowOff>86590</xdr:rowOff>
    </xdr:from>
    <xdr:ext cx="1171554" cy="363936"/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9751" y="86590"/>
          <a:ext cx="1171554" cy="363936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68035</xdr:rowOff>
    </xdr:from>
    <xdr:ext cx="2337955" cy="373832"/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0" y="68035"/>
          <a:ext cx="2337955" cy="373832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0</xdr:row>
          <xdr:rowOff>57150</xdr:rowOff>
        </xdr:from>
        <xdr:to>
          <xdr:col>4</xdr:col>
          <xdr:colOff>1057275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</a:rPr>
                <a:t>CALCULATE RANKING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57150</xdr:rowOff>
        </xdr:from>
        <xdr:to>
          <xdr:col>9</xdr:col>
          <xdr:colOff>200025</xdr:colOff>
          <xdr:row>2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</a:rPr>
                <a:t>CLEAR RANKING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34</xdr:row>
          <xdr:rowOff>66675</xdr:rowOff>
        </xdr:from>
        <xdr:to>
          <xdr:col>8</xdr:col>
          <xdr:colOff>1114425</xdr:colOff>
          <xdr:row>36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</a:rPr>
                <a:t>CLEAR CITY RANKING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34</xdr:row>
          <xdr:rowOff>66675</xdr:rowOff>
        </xdr:from>
        <xdr:to>
          <xdr:col>2</xdr:col>
          <xdr:colOff>542925</xdr:colOff>
          <xdr:row>36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1" i="0" u="none" strike="noStrike" baseline="0">
                  <a:solidFill>
                    <a:srgbClr val="000000"/>
                  </a:solidFill>
                  <a:latin typeface="Calibri"/>
                </a:rPr>
                <a:t>CALCULATE BEST IN CITY 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7</xdr:row>
          <xdr:rowOff>95250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Preview Color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7</xdr:row>
          <xdr:rowOff>104775</xdr:rowOff>
        </xdr:from>
        <xdr:to>
          <xdr:col>7</xdr:col>
          <xdr:colOff>857250</xdr:colOff>
          <xdr:row>10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Apply Color Sheme and Operator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10</xdr:row>
          <xdr:rowOff>47625</xdr:rowOff>
        </xdr:from>
        <xdr:to>
          <xdr:col>7</xdr:col>
          <xdr:colOff>857250</xdr:colOff>
          <xdr:row>12</xdr:row>
          <xdr:rowOff>142875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9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Reset All To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2</xdr:row>
          <xdr:rowOff>0</xdr:rowOff>
        </xdr:from>
        <xdr:to>
          <xdr:col>12</xdr:col>
          <xdr:colOff>600075</xdr:colOff>
          <xdr:row>2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9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</a:rPr>
                <a:t>Operator1: Clear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3</xdr:row>
          <xdr:rowOff>19050</xdr:rowOff>
        </xdr:from>
        <xdr:to>
          <xdr:col>12</xdr:col>
          <xdr:colOff>600075</xdr:colOff>
          <xdr:row>4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9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</a:rPr>
                <a:t>Operator2: Clear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4</xdr:row>
          <xdr:rowOff>38100</xdr:rowOff>
        </xdr:from>
        <xdr:to>
          <xdr:col>12</xdr:col>
          <xdr:colOff>600075</xdr:colOff>
          <xdr:row>5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9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</a:rPr>
                <a:t>Operator3: Clear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5</xdr:row>
          <xdr:rowOff>57150</xdr:rowOff>
        </xdr:from>
        <xdr:to>
          <xdr:col>12</xdr:col>
          <xdr:colOff>600075</xdr:colOff>
          <xdr:row>6</xdr:row>
          <xdr:rowOff>47625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9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</a:rPr>
                <a:t>Operator4: Clear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6</xdr:row>
          <xdr:rowOff>66675</xdr:rowOff>
        </xdr:from>
        <xdr:to>
          <xdr:col>13</xdr:col>
          <xdr:colOff>0</xdr:colOff>
          <xdr:row>7</xdr:row>
          <xdr:rowOff>57150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9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</a:rPr>
                <a:t>Operator5: Clear Vendor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I46"/>
  <sheetViews>
    <sheetView showGridLines="0" tabSelected="1" zoomScale="70" zoomScaleNormal="70" workbookViewId="0">
      <selection activeCell="D36" sqref="D36"/>
    </sheetView>
  </sheetViews>
  <sheetFormatPr baseColWidth="10" defaultColWidth="9.140625" defaultRowHeight="15" x14ac:dyDescent="0.25"/>
  <cols>
    <col min="2" max="2" width="72" customWidth="1"/>
    <col min="3" max="9" width="29.5703125" customWidth="1"/>
  </cols>
  <sheetData>
    <row r="1" spans="2:9" ht="23.45" customHeight="1" x14ac:dyDescent="0.25"/>
    <row r="2" spans="2:9" ht="23.45" customHeight="1" thickBot="1" x14ac:dyDescent="0.3"/>
    <row r="3" spans="2:9" ht="27" customHeight="1" x14ac:dyDescent="0.25">
      <c r="B3" s="138" t="s">
        <v>350</v>
      </c>
      <c r="C3" s="137" t="s">
        <v>349</v>
      </c>
      <c r="D3" s="137" t="s">
        <v>348</v>
      </c>
      <c r="E3" s="137" t="s">
        <v>347</v>
      </c>
      <c r="F3" s="137" t="s">
        <v>346</v>
      </c>
      <c r="G3" s="138" t="s">
        <v>345</v>
      </c>
      <c r="I3" s="138" t="s">
        <v>344</v>
      </c>
    </row>
    <row r="4" spans="2:9" ht="27" customHeight="1" thickBot="1" x14ac:dyDescent="0.3">
      <c r="B4" s="141" t="s">
        <v>298</v>
      </c>
      <c r="C4" s="149" t="s">
        <v>298</v>
      </c>
      <c r="D4" s="148" t="s">
        <v>298</v>
      </c>
      <c r="E4" s="148" t="s">
        <v>298</v>
      </c>
      <c r="F4" s="147" t="s">
        <v>298</v>
      </c>
      <c r="G4" s="146" t="s">
        <v>298</v>
      </c>
      <c r="I4" s="146" t="s">
        <v>298</v>
      </c>
    </row>
    <row r="5" spans="2:9" ht="27" customHeight="1" thickBot="1" x14ac:dyDescent="0.3">
      <c r="B5" s="138" t="s">
        <v>343</v>
      </c>
      <c r="C5" s="137" t="s">
        <v>284</v>
      </c>
      <c r="D5" s="137" t="s">
        <v>342</v>
      </c>
      <c r="E5" s="143" t="s">
        <v>341</v>
      </c>
      <c r="F5" s="143" t="s">
        <v>340</v>
      </c>
      <c r="G5" s="145"/>
      <c r="I5" s="144" t="s">
        <v>339</v>
      </c>
    </row>
    <row r="6" spans="2:9" ht="27" customHeight="1" thickBot="1" x14ac:dyDescent="0.3">
      <c r="B6" s="141" t="s">
        <v>298</v>
      </c>
      <c r="C6" s="141" t="s">
        <v>298</v>
      </c>
      <c r="D6" s="141" t="s">
        <v>298</v>
      </c>
      <c r="E6" s="142" t="s">
        <v>298</v>
      </c>
      <c r="F6" s="142" t="s">
        <v>298</v>
      </c>
    </row>
    <row r="7" spans="2:9" ht="27" customHeight="1" x14ac:dyDescent="0.25">
      <c r="B7" s="138" t="s">
        <v>338</v>
      </c>
      <c r="C7" s="137" t="s">
        <v>280</v>
      </c>
      <c r="D7" s="137" t="s">
        <v>337</v>
      </c>
      <c r="E7" s="143" t="s">
        <v>336</v>
      </c>
      <c r="F7" s="143" t="s">
        <v>335</v>
      </c>
    </row>
    <row r="8" spans="2:9" ht="27" customHeight="1" thickBot="1" x14ac:dyDescent="0.3">
      <c r="B8" s="141" t="s">
        <v>298</v>
      </c>
      <c r="C8" s="141" t="s">
        <v>298</v>
      </c>
      <c r="D8" s="141" t="s">
        <v>298</v>
      </c>
      <c r="E8" s="142" t="s">
        <v>298</v>
      </c>
      <c r="F8" s="142" t="s">
        <v>298</v>
      </c>
    </row>
    <row r="9" spans="2:9" ht="27" customHeight="1" x14ac:dyDescent="0.25">
      <c r="B9" s="138" t="s">
        <v>270</v>
      </c>
      <c r="C9" s="137" t="s">
        <v>268</v>
      </c>
      <c r="D9" s="137" t="s">
        <v>269</v>
      </c>
      <c r="E9" s="137" t="s">
        <v>267</v>
      </c>
      <c r="F9" s="137" t="s">
        <v>266</v>
      </c>
    </row>
    <row r="10" spans="2:9" ht="27" customHeight="1" thickBot="1" x14ac:dyDescent="0.3">
      <c r="B10" s="141" t="s">
        <v>298</v>
      </c>
      <c r="C10" s="141" t="s">
        <v>298</v>
      </c>
      <c r="D10" s="141" t="s">
        <v>298</v>
      </c>
      <c r="E10" s="142" t="s">
        <v>298</v>
      </c>
      <c r="F10" s="142" t="s">
        <v>298</v>
      </c>
    </row>
    <row r="11" spans="2:9" ht="27" customHeight="1" x14ac:dyDescent="0.25">
      <c r="B11" s="138" t="s">
        <v>265</v>
      </c>
      <c r="C11" s="137" t="s">
        <v>264</v>
      </c>
      <c r="D11" s="137" t="s">
        <v>263</v>
      </c>
      <c r="E11" s="137" t="s">
        <v>262</v>
      </c>
      <c r="F11" s="137" t="s">
        <v>261</v>
      </c>
      <c r="G11" s="137" t="s">
        <v>78</v>
      </c>
      <c r="H11" s="138" t="s">
        <v>77</v>
      </c>
    </row>
    <row r="12" spans="2:9" ht="27" customHeight="1" thickBot="1" x14ac:dyDescent="0.3">
      <c r="B12" s="141" t="s">
        <v>298</v>
      </c>
      <c r="C12" s="141" t="s">
        <v>298</v>
      </c>
      <c r="D12" s="141" t="s">
        <v>298</v>
      </c>
      <c r="E12" s="141" t="s">
        <v>298</v>
      </c>
      <c r="F12" s="141" t="s">
        <v>298</v>
      </c>
      <c r="G12" s="141" t="s">
        <v>298</v>
      </c>
      <c r="H12" s="141" t="s">
        <v>298</v>
      </c>
    </row>
    <row r="13" spans="2:9" ht="24" customHeight="1" x14ac:dyDescent="0.25"/>
    <row r="14" spans="2:9" ht="24" customHeight="1" x14ac:dyDescent="0.25"/>
    <row r="15" spans="2:9" ht="24" customHeight="1" thickBot="1" x14ac:dyDescent="0.3"/>
    <row r="16" spans="2:9" ht="21.75" thickBot="1" x14ac:dyDescent="0.3">
      <c r="B16" s="140" t="s">
        <v>334</v>
      </c>
      <c r="C16" s="139"/>
      <c r="D16" s="139"/>
      <c r="E16" s="139"/>
      <c r="F16" s="139"/>
      <c r="G16" s="139"/>
      <c r="H16" s="139"/>
      <c r="I16" s="139"/>
    </row>
    <row r="17" spans="2:7" ht="28.5" thickBot="1" x14ac:dyDescent="0.3">
      <c r="B17" s="138" t="s">
        <v>355</v>
      </c>
      <c r="C17" s="447" t="s">
        <v>363</v>
      </c>
      <c r="D17" s="448" t="s">
        <v>364</v>
      </c>
      <c r="E17" s="449" t="s">
        <v>365</v>
      </c>
      <c r="F17" s="151" t="s">
        <v>68</v>
      </c>
      <c r="G17" s="156" t="s">
        <v>67</v>
      </c>
    </row>
    <row r="18" spans="2:7" ht="30" customHeight="1" x14ac:dyDescent="0.25">
      <c r="B18" s="136" t="s">
        <v>32</v>
      </c>
      <c r="C18" s="161">
        <f t="array" aca="1" ref="C18" ca="1">SUM(SUBTOTAL(3,OFFSET(sO1LQ,ROW(O1LQ)-ROW(sO1LQ),0,1))*IF(O1ST="CALL",1,0))</f>
        <v>0</v>
      </c>
      <c r="D18" s="161">
        <f t="array" aca="1" ref="D18" ca="1">SUM(SUBTOTAL(3,OFFSET(sO2LQ,ROW(O2LQ)-ROW(sO2LQ),0,1))*IF(O2ST="CALL",1,0))</f>
        <v>0</v>
      </c>
      <c r="E18" s="161">
        <f t="array" aca="1" ref="E18" ca="1">SUM(SUBTOTAL(3,OFFSET(sO3LQ,ROW(O3LQ)-ROW(sO3LQ),0,1))*IF(O3ST="CALL",1,0))</f>
        <v>0</v>
      </c>
      <c r="F18" s="152"/>
      <c r="G18" s="157"/>
    </row>
    <row r="19" spans="2:7" ht="30" customHeight="1" x14ac:dyDescent="0.25">
      <c r="B19" s="127" t="s">
        <v>29</v>
      </c>
      <c r="C19" s="134">
        <f t="array" aca="1" ref="C19" ca="1">IF(C18&gt;0,SUMPRODUCT(SUBTOTAL(3,OFFSET(O1LQ,ROW(O1LQ)-ROW(sO1LQ),0,1)),--(O1LQ&lt;=1.6),--(O1ST="CALL")),0)</f>
        <v>0</v>
      </c>
      <c r="D19" s="134">
        <f t="array" aca="1" ref="D19" ca="1">IF(D18&gt;0,SUMPRODUCT(SUBTOTAL(3,OFFSET(O2LQ,ROW(O2LQ)-ROW(sO2LQ),0,1)),--(O2LQ&lt;=1.6),--(O2ST="CALL")),0)</f>
        <v>0</v>
      </c>
      <c r="E19" s="134">
        <f t="array" aca="1" ref="E19" ca="1">IF(E18&gt;0,SUMPRODUCT(SUBTOTAL(3,OFFSET(O3LQ,ROW(O3LQ)-ROW(sO3LQ),0,1)),--(O3LQ&lt;=1.6),--(O3ST="CALL")),0)</f>
        <v>0</v>
      </c>
      <c r="F19" s="153"/>
      <c r="G19" s="158"/>
    </row>
    <row r="20" spans="2:7" ht="30" customHeight="1" x14ac:dyDescent="0.25">
      <c r="B20" s="132" t="s">
        <v>26</v>
      </c>
      <c r="C20" s="133">
        <f ca="1">IF(C18&gt;0,C19/C18,0)</f>
        <v>0</v>
      </c>
      <c r="D20" s="133">
        <f ca="1">IF(D18&gt;0,D19/D18,0)</f>
        <v>0</v>
      </c>
      <c r="E20" s="133">
        <f ca="1">IF(E18&gt;0,E19/E18,0)</f>
        <v>0</v>
      </c>
      <c r="F20" s="162">
        <v>0.1</v>
      </c>
      <c r="G20" s="165">
        <v>0</v>
      </c>
    </row>
    <row r="21" spans="2:7" ht="30" customHeight="1" x14ac:dyDescent="0.25">
      <c r="B21" s="127" t="s">
        <v>333</v>
      </c>
      <c r="C21" s="130">
        <f t="array" aca="1" ref="C21" ca="1">IFERROR(MIN(IF(SUBTOTAL(3,OFFSET(sO1LQ,ROW(O1LQ)-ROW(sO1LQ),0,1)),IF(TRUE,IF(O1ST="CALL",O1LQ,FALSE),FALSE),FALSE)),"")</f>
        <v>0</v>
      </c>
      <c r="D21" s="130">
        <f t="array" aca="1" ref="D21" ca="1">IFERROR(MIN(IF(SUBTOTAL(3,OFFSET(sO2LQ,ROW(O2LQ)-ROW(sO2LQ),0,1)),IF(TRUE,IF(O2ST="CALL",O2LQ,FALSE),FALSE),FALSE)),"")</f>
        <v>0</v>
      </c>
      <c r="E21" s="130">
        <f t="array" aca="1" ref="E21" ca="1">IFERROR(MIN(IF(SUBTOTAL(3,OFFSET(sO3LQ,ROW(O3LQ)-ROW(sO3LQ),0,1)),IF(TRUE,IF(O3ST="CALL",O3LQ,FALSE),FALSE),FALSE)),"")</f>
        <v>0</v>
      </c>
      <c r="F21" s="163"/>
      <c r="G21" s="166"/>
    </row>
    <row r="22" spans="2:7" ht="30" customHeight="1" x14ac:dyDescent="0.25">
      <c r="B22" s="132" t="s">
        <v>332</v>
      </c>
      <c r="C22" s="131" t="str">
        <f t="array" aca="1" ref="C22" ca="1">IFERROR(AVERAGE(IF(SUBTOTAL(3,OFFSET(sO1LQ,ROW(O1LQ)-ROW(sO1LQ),0,1)),IF(TRUE,IF(O1ST="CALL",O1LQ,FALSE),FALSE),FALSE)),"0")</f>
        <v>0</v>
      </c>
      <c r="D22" s="131" t="str">
        <f t="array" aca="1" ref="D22" ca="1">IFERROR(AVERAGE(IF(SUBTOTAL(3,OFFSET(sO2LQ,ROW(O2LQ)-ROW(sO2LQ),0,1)),IF(TRUE,IF(O2ST="CALL",O2LQ,FALSE),FALSE),FALSE)),"0")</f>
        <v>0</v>
      </c>
      <c r="E22" s="131" t="str">
        <f t="array" aca="1" ref="E22" ca="1">IFERROR(AVERAGE(IF(SUBTOTAL(3,OFFSET(sO3LQ,ROW(O3LQ)-ROW(sO3LQ),0,1)),IF(TRUE,IF(O3ST="CALL",O3LQ,FALSE),FALSE),FALSE)),"0")</f>
        <v>0</v>
      </c>
      <c r="F22" s="164">
        <v>2</v>
      </c>
      <c r="G22" s="167">
        <v>4.3</v>
      </c>
    </row>
    <row r="23" spans="2:7" ht="30" customHeight="1" x14ac:dyDescent="0.25">
      <c r="B23" s="127" t="s">
        <v>331</v>
      </c>
      <c r="C23" s="130">
        <f t="array" aca="1" ref="C23" ca="1">IFERROR(MAX(IF(SUBTOTAL(3,OFFSET(sO1LQ,ROW(O1LQ)-ROW(sO1LQ),0,1)),IF(TRUE,IF(O1ST="CALL",O1LQ,FALSE),FALSE),FALSE)),"")</f>
        <v>0</v>
      </c>
      <c r="D23" s="130">
        <f t="array" aca="1" ref="D23" ca="1">IFERROR(MAX(IF(SUBTOTAL(3,OFFSET(sO2LQ,ROW(O2LQ)-ROW(sO2LQ),0,1)),IF(TRUE,IF(O2ST="CALL",O2LQ,FALSE),FALSE),FALSE)),"")</f>
        <v>0</v>
      </c>
      <c r="E23" s="130">
        <f t="array" aca="1" ref="E23" ca="1">IFERROR(MAX(IF(SUBTOTAL(3,OFFSET(sO3LQ,ROW(O3LQ)-ROW(sO3LQ),0,1)),IF(TRUE,IF(O3ST="CALL",O3LQ,FALSE),FALSE),FALSE)),"")</f>
        <v>0</v>
      </c>
      <c r="F23" s="153"/>
      <c r="G23" s="158"/>
    </row>
    <row r="24" spans="2:7" ht="30" customHeight="1" x14ac:dyDescent="0.25">
      <c r="B24" s="127" t="s">
        <v>330</v>
      </c>
      <c r="C24" s="130" t="str">
        <f t="array" aca="1" ref="C24" ca="1">IFERROR(PERCENTILE(IF(SUBTOTAL(3,OFFSET(sO1LQ,ROW(O1LQ)-ROW(sO1LQ),0,1)),IF(TRUE,IF(O1ST="CALL",O1LQ,FALSE),FALSE),FALSE),0.1),"0")</f>
        <v>0</v>
      </c>
      <c r="D24" s="130" t="str">
        <f t="array" aca="1" ref="D24" ca="1">IFERROR(PERCENTILE(IF(SUBTOTAL(3,OFFSET(sO2LQ,ROW(O2LQ)-ROW(sO2LQ),0,1)),IF(TRUE,IF(O2ST="CALL",O2LQ,FALSE),FALSE),FALSE),0.1),"0")</f>
        <v>0</v>
      </c>
      <c r="E24" s="130" t="str">
        <f t="array" aca="1" ref="E24" ca="1">IFERROR(PERCENTILE(IF(SUBTOTAL(3,OFFSET(sO3LQ,ROW(O3LQ)-ROW(sO3LQ),0,1)),IF(TRUE,IF(O3ST="CALL",O3LQ,FALSE),FALSE),FALSE),0.1),"0")</f>
        <v>0</v>
      </c>
      <c r="F24" s="153"/>
      <c r="G24" s="158"/>
    </row>
    <row r="25" spans="2:7" ht="30" customHeight="1" x14ac:dyDescent="0.25">
      <c r="B25" s="127" t="s">
        <v>329</v>
      </c>
      <c r="C25" s="130" t="str">
        <f t="array" aca="1" ref="C25" ca="1">IFERROR(PERCENTILE(IF(SUBTOTAL(3,OFFSET(sO1LQ,ROW(O1LQ)-ROW(sO1LQ),0,1)),IF(TRUE,IF(O1ST="CALL",O1LQ,FALSE),FALSE),FALSE),0.5),"0")</f>
        <v>0</v>
      </c>
      <c r="D25" s="130" t="str">
        <f t="array" aca="1" ref="D25" ca="1">IFERROR(PERCENTILE(IF(SUBTOTAL(3,OFFSET(sO2LQ,ROW(O2LQ)-ROW(sO2LQ),0,1)),IF(TRUE,IF(O2ST="CALL",O2LQ,FALSE),FALSE),FALSE),0.5),"0")</f>
        <v>0</v>
      </c>
      <c r="E25" s="130" t="str">
        <f t="array" aca="1" ref="E25" ca="1">IFERROR(PERCENTILE(IF(SUBTOTAL(3,OFFSET(sO3LQ,ROW(O3LQ)-ROW(sO3LQ),0,1)),IF(TRUE,IF(O3ST="CALL",O3LQ,FALSE),FALSE),FALSE),0.5),"0")</f>
        <v>0</v>
      </c>
      <c r="F25" s="153"/>
      <c r="G25" s="158"/>
    </row>
    <row r="26" spans="2:7" ht="30" customHeight="1" thickBot="1" x14ac:dyDescent="0.3">
      <c r="B26" s="129" t="s">
        <v>328</v>
      </c>
      <c r="C26" s="128" t="str">
        <f t="array" aca="1" ref="C26" ca="1">IFERROR(PERCENTILE(IF(SUBTOTAL(3,OFFSET(sO1LQ,ROW(O1LQ)-ROW(sO1LQ),0,1)),IF(TRUE,IF(O1ST="CALL",O1LQ,FALSE),FALSE),FALSE),0.9),"0")</f>
        <v>0</v>
      </c>
      <c r="D26" s="128" t="str">
        <f t="array" aca="1" ref="D26" ca="1">IFERROR(PERCENTILE(IF(SUBTOTAL(3,OFFSET(sO2LQ,ROW(O2LQ)-ROW(sO2LQ),0,1)),IF(TRUE,IF(O2ST="CALL",O2LQ,FALSE),FALSE),FALSE),0.9),"0")</f>
        <v>0</v>
      </c>
      <c r="E26" s="128" t="str">
        <f t="array" aca="1" ref="E26" ca="1">IFERROR(PERCENTILE(IF(SUBTOTAL(3,OFFSET(sO3LQ,ROW(O3LQ)-ROW(sO3LQ),0,1)),IF(TRUE,IF(O3ST="CALL",O3LQ,FALSE),FALSE),FALSE),0.9),"0")</f>
        <v>0</v>
      </c>
      <c r="F26" s="154"/>
      <c r="G26" s="159"/>
    </row>
    <row r="27" spans="2:7" ht="30" customHeight="1" x14ac:dyDescent="0.25">
      <c r="B27" s="136" t="s">
        <v>327</v>
      </c>
      <c r="C27" s="135">
        <f t="array" ref="C27">SUBTOTAL(103,O1L1LQ)</f>
        <v>0</v>
      </c>
      <c r="D27" s="135">
        <f t="array" ref="D27">SUBTOTAL(103,O2L1LQ)</f>
        <v>0</v>
      </c>
      <c r="E27" s="135">
        <f t="array" ref="E27">SUBTOTAL(103,O3L1LQ)</f>
        <v>0</v>
      </c>
      <c r="F27" s="152"/>
      <c r="G27" s="157"/>
    </row>
    <row r="28" spans="2:7" ht="30" customHeight="1" x14ac:dyDescent="0.25">
      <c r="B28" s="127" t="s">
        <v>353</v>
      </c>
      <c r="C28" s="134">
        <f t="array" aca="1" ref="C28" ca="1">SUMPRODUCT(SUBTOTAL(3,OFFSET(O1L1LQ,ROW(O1L1LQ)-ROW(sO1L1LQ),0,1)),--(O1L1LQ&lt;=1.6))</f>
        <v>0</v>
      </c>
      <c r="D28" s="134">
        <f t="array" aca="1" ref="D28" ca="1">SUMPRODUCT(SUBTOTAL(3,OFFSET(O2L1LQ,ROW(O2L1LQ)-ROW(sO2L1LQ),0,1)),--(O2L1LQ&lt;=1.6))</f>
        <v>0</v>
      </c>
      <c r="E28" s="134">
        <f t="array" aca="1" ref="E28" ca="1">SUMPRODUCT(SUBTOTAL(3,OFFSET(O3L1LQ,ROW(O3L1LQ)-ROW(sO3L1LQ),0,1)),--(O3L1LQ&lt;=1.6))</f>
        <v>0</v>
      </c>
      <c r="F28" s="153"/>
      <c r="G28" s="158"/>
    </row>
    <row r="29" spans="2:7" ht="30" customHeight="1" x14ac:dyDescent="0.25">
      <c r="B29" s="132" t="s">
        <v>354</v>
      </c>
      <c r="C29" s="133">
        <f>IF(C27&gt;0,C28/C27,0)</f>
        <v>0</v>
      </c>
      <c r="D29" s="133">
        <f>IF(D27&gt;0,D28/D27,0)</f>
        <v>0</v>
      </c>
      <c r="E29" s="133">
        <f>IF(E27&gt;0,E28/E27,0)</f>
        <v>0</v>
      </c>
      <c r="F29" s="153"/>
      <c r="G29" s="158"/>
    </row>
    <row r="30" spans="2:7" ht="30" customHeight="1" x14ac:dyDescent="0.25">
      <c r="B30" s="127" t="s">
        <v>326</v>
      </c>
      <c r="C30" s="130">
        <f t="array" ref="C30">IFERROR( SUBTOTAL(5,O1L1LQ),"0")</f>
        <v>0</v>
      </c>
      <c r="D30" s="130">
        <f t="array" ref="D30">IFERROR( SUBTOTAL(5,O2L1LQ),"0")</f>
        <v>0</v>
      </c>
      <c r="E30" s="130">
        <f t="array" ref="E30">IFERROR( SUBTOTAL(5,O3L1LQ),"0")</f>
        <v>0</v>
      </c>
      <c r="F30" s="153"/>
      <c r="G30" s="158"/>
    </row>
    <row r="31" spans="2:7" ht="30" customHeight="1" x14ac:dyDescent="0.25">
      <c r="B31" s="132" t="s">
        <v>325</v>
      </c>
      <c r="C31" s="131" t="str">
        <f t="array" ref="C31">IFERROR( SUBTOTAL(1,O1L1LQ),"0")</f>
        <v>0</v>
      </c>
      <c r="D31" s="131" t="str">
        <f t="array" ref="D31">IFERROR( SUBTOTAL(1,O2L1LQ),"0")</f>
        <v>0</v>
      </c>
      <c r="E31" s="131" t="str">
        <f t="array" ref="E31">IFERROR( SUBTOTAL(1,O3L1LQ),"0")</f>
        <v>0</v>
      </c>
      <c r="F31" s="153"/>
      <c r="G31" s="158"/>
    </row>
    <row r="32" spans="2:7" ht="30" customHeight="1" x14ac:dyDescent="0.25">
      <c r="B32" s="127" t="s">
        <v>324</v>
      </c>
      <c r="C32" s="130">
        <f t="array" ref="C32">IFERROR( SUBTOTAL(4,O1L1LQ),"0")</f>
        <v>0</v>
      </c>
      <c r="D32" s="130">
        <f t="array" ref="D32">IFERROR( SUBTOTAL(4,O2L1LQ),"0")</f>
        <v>0</v>
      </c>
      <c r="E32" s="130">
        <f t="array" ref="E32">IFERROR( SUBTOTAL(4,O3L1LQ),"0")</f>
        <v>0</v>
      </c>
      <c r="F32" s="153"/>
      <c r="G32" s="158"/>
    </row>
    <row r="33" spans="2:7" ht="30" customHeight="1" x14ac:dyDescent="0.25">
      <c r="B33" s="127" t="s">
        <v>323</v>
      </c>
      <c r="C33" s="130" t="str">
        <f t="array" aca="1" ref="C33" ca="1">IFERROR(PERCENTILE(IF(SUBTOTAL(3,OFFSET(O1L1LQ, ROW(O1L1LQ)-ROW(sO1L1LQ),,1)),IF(O1L1LQ&lt;&gt;"",O1L1LQ,FALSE),FALSE), 0.1),"0")</f>
        <v>0</v>
      </c>
      <c r="D33" s="130" t="str">
        <f t="array" aca="1" ref="D33" ca="1">IFERROR(PERCENTILE(IF(SUBTOTAL(3,OFFSET(O2L1LQ, ROW(O2L1LQ)-ROW(sO2L1LQ),,1)),IF(O2L1LQ&lt;&gt;"",O2L1LQ,FALSE),FALSE), 0.1),"0")</f>
        <v>0</v>
      </c>
      <c r="E33" s="130" t="str">
        <f t="array" aca="1" ref="E33" ca="1">IFERROR(PERCENTILE(IF(SUBTOTAL(3,OFFSET(O3L1LQ, ROW(O3L1LQ)-ROW(sO3L1LQ),,1)),IF(O3L1LQ&lt;&gt;"",O3L1LQ,FALSE),FALSE), 0.1),"0")</f>
        <v>0</v>
      </c>
      <c r="F33" s="153"/>
      <c r="G33" s="158"/>
    </row>
    <row r="34" spans="2:7" ht="30" customHeight="1" x14ac:dyDescent="0.25">
      <c r="B34" s="127" t="s">
        <v>322</v>
      </c>
      <c r="C34" s="130" t="str">
        <f t="array" aca="1" ref="C34" ca="1">IFERROR(PERCENTILE(IF(SUBTOTAL(3,OFFSET(O1L1LQ, ROW(O1L1LQ)-ROW(sO1L1LQ),,1)),IF(O1L1LQ&lt;&gt;"",O1L1LQ,FALSE),FALSE), 0.5),"0")</f>
        <v>0</v>
      </c>
      <c r="D34" s="130" t="str">
        <f t="array" aca="1" ref="D34" ca="1">IFERROR(PERCENTILE(IF(SUBTOTAL(3,OFFSET(O2L1LQ, ROW(O2L1LQ)-ROW(sO2L1LQ),,1)),IF(O2L1LQ&lt;&gt;"",O2L1LQ,FALSE),FALSE), 0.5),"0")</f>
        <v>0</v>
      </c>
      <c r="E34" s="130" t="str">
        <f t="array" aca="1" ref="E34" ca="1">IFERROR(PERCENTILE(IF(SUBTOTAL(3,OFFSET(O3L1LQ, ROW(O3L1LQ)-ROW(sO3L1LQ),,1)),IF(O3L1LQ&lt;&gt;"",O3L1LQ,FALSE),FALSE), 0.5),"0")</f>
        <v>0</v>
      </c>
      <c r="F34" s="155"/>
      <c r="G34" s="160"/>
    </row>
    <row r="35" spans="2:7" ht="30" customHeight="1" thickBot="1" x14ac:dyDescent="0.3">
      <c r="B35" s="129" t="s">
        <v>321</v>
      </c>
      <c r="C35" s="128" t="str">
        <f t="array" aca="1" ref="C35" ca="1">IFERROR(PERCENTILE(IF(SUBTOTAL(3,OFFSET(O1L1LQ, ROW(O1L1LQ)-ROW(sO1L1LQ),,1)),IF(O1L1LQ&lt;&gt;"",O1L1LQ,FALSE),FALSE), 0.9),"0")</f>
        <v>0</v>
      </c>
      <c r="D35" s="128" t="str">
        <f t="array" aca="1" ref="D35" ca="1">IFERROR(PERCENTILE(IF(SUBTOTAL(3,OFFSET(O2L1LQ, ROW(O2L1LQ)-ROW(sO2L1LQ),,1)),IF(O2L1LQ&lt;&gt;"",O2L1LQ,FALSE),FALSE), 0.9),"0")</f>
        <v>0</v>
      </c>
      <c r="E35" s="128">
        <f ca="1">IFERROR(PERCENTILE(IF(SUBTOTAL(3,OFFSET(O3L1LQ, ROW(O3L1LQ)-ROW(sO3L1LQ),,1)),IF(O3L1LQ&lt;&gt;"",O3L1LQ,FALSE),FALSE), 0.9),"0")</f>
        <v>0</v>
      </c>
      <c r="F35" s="154"/>
      <c r="G35" s="159"/>
    </row>
    <row r="36" spans="2:7" ht="30" customHeight="1" thickBot="1" x14ac:dyDescent="0.3">
      <c r="B36" s="127" t="s">
        <v>320</v>
      </c>
      <c r="C36" s="126" t="str">
        <f t="array" ref="C36">IFERROR( SUBTOTAL(1,O1L2LQ),"0")</f>
        <v>0</v>
      </c>
      <c r="D36" s="126" t="str">
        <f t="array" ref="D36">IFERROR( SUBTOTAL(1,O2L2LQ),"0")</f>
        <v>0</v>
      </c>
      <c r="E36" s="126" t="str">
        <f t="array" ref="E36">IFERROR( SUBTOTAL(1,O3L2LQ),"0")</f>
        <v>0</v>
      </c>
      <c r="F36" s="153"/>
      <c r="G36" s="158"/>
    </row>
    <row r="37" spans="2:7" ht="28.5" thickBot="1" x14ac:dyDescent="0.3">
      <c r="B37" s="138" t="s">
        <v>356</v>
      </c>
      <c r="C37" s="447" t="s">
        <v>363</v>
      </c>
      <c r="D37" s="448" t="s">
        <v>364</v>
      </c>
      <c r="E37" s="449" t="s">
        <v>365</v>
      </c>
      <c r="F37" s="151" t="s">
        <v>68</v>
      </c>
      <c r="G37" s="156" t="s">
        <v>67</v>
      </c>
    </row>
    <row r="38" spans="2:7" ht="30" customHeight="1" x14ac:dyDescent="0.25">
      <c r="B38" s="136" t="s">
        <v>32</v>
      </c>
      <c r="C38" s="161">
        <f t="array" aca="1" ref="C38" ca="1">SUM(SUBTOTAL(3,OFFSET(sO1LQ,ROW(O1LQ)-ROW(sO1LQ),0,1))*IF(O1ST="WhatsApp CALL",1,0))</f>
        <v>0</v>
      </c>
      <c r="D38" s="161">
        <f t="array" aca="1" ref="D38" ca="1">SUM(SUBTOTAL(3,OFFSET(sO2LQ,ROW(O2LQ)-ROW(sO2LQ),0,1))*IF(O2ST="WhatsApp CALL",1,0))</f>
        <v>0</v>
      </c>
      <c r="E38" s="161">
        <f t="array" aca="1" ref="E38" ca="1">SUM(SUBTOTAL(3,OFFSET(sO3LQ,ROW(O3LQ)-ROW(sO3LQ),0,1))*IF(O3ST="WhatsApp CALL",1,0))</f>
        <v>0</v>
      </c>
      <c r="F38" s="152"/>
      <c r="G38" s="157"/>
    </row>
    <row r="39" spans="2:7" ht="30" customHeight="1" x14ac:dyDescent="0.25">
      <c r="B39" s="127" t="s">
        <v>29</v>
      </c>
      <c r="C39" s="134">
        <f t="array" aca="1" ref="C39" ca="1">IF(C38&gt;0,SUMPRODUCT(SUBTOTAL(3,OFFSET(O1LQ,ROW(O1LQ)-ROW(sO1LQ),0,1)),--(O1LQ&lt;=1.6),--(O1ST="WhatsApp CALL")),0)</f>
        <v>0</v>
      </c>
      <c r="D39" s="134">
        <f t="array" aca="1" ref="D39" ca="1">IF(D38&gt;0,SUMPRODUCT(SUBTOTAL(3,OFFSET(O2LQ,ROW(O2LQ)-ROW(sO2LQ),0,1)),--(O2LQ&lt;=1.6),--(O2ST="WhatsApp CALL")),0)</f>
        <v>0</v>
      </c>
      <c r="E39" s="134">
        <f t="array" aca="1" ref="E39" ca="1">IF(E38&gt;0,SUMPRODUCT(SUBTOTAL(3,OFFSET(O3LQ,ROW(O3LQ)-ROW(sO3LQ),0,1)),--(O3LQ&lt;=1.6),--(O3ST="WhatsApp CALL")),0)</f>
        <v>0</v>
      </c>
      <c r="F39" s="153"/>
      <c r="G39" s="158"/>
    </row>
    <row r="40" spans="2:7" ht="30" customHeight="1" x14ac:dyDescent="0.25">
      <c r="B40" s="132" t="s">
        <v>26</v>
      </c>
      <c r="C40" s="133">
        <f ca="1">IF(C38&gt;0,C39/C38,0)</f>
        <v>0</v>
      </c>
      <c r="D40" s="133">
        <f t="shared" ref="D40:E40" ca="1" si="0">IF(D38&gt;0,D39/D38,0)</f>
        <v>0</v>
      </c>
      <c r="E40" s="133">
        <f t="shared" ca="1" si="0"/>
        <v>0</v>
      </c>
      <c r="F40" s="162">
        <v>0.1</v>
      </c>
      <c r="G40" s="165">
        <v>0</v>
      </c>
    </row>
    <row r="41" spans="2:7" ht="30" customHeight="1" x14ac:dyDescent="0.25">
      <c r="B41" s="127" t="s">
        <v>333</v>
      </c>
      <c r="C41" s="130">
        <f t="array" aca="1" ref="C41" ca="1">IFERROR(MIN(IF(SUBTOTAL(3,OFFSET(sO1LQ,ROW(O1LQ)-ROW(sO1LQ),0,1)),IF(TRUE,IF(O1ST="WhatsApp CALL",O1LQ,FALSE),FALSE),FALSE)),"")</f>
        <v>0</v>
      </c>
      <c r="D41" s="130">
        <f t="array" aca="1" ref="D41" ca="1">IFERROR(MIN(IF(SUBTOTAL(3,OFFSET(sO2LQ,ROW(O2LQ)-ROW(sO2LQ),0,1)),IF(TRUE,IF(O2ST="WhatsApp CALL",O2LQ,FALSE),FALSE),FALSE)),"")</f>
        <v>0</v>
      </c>
      <c r="E41" s="130">
        <f t="array" aca="1" ref="E41" ca="1">IFERROR(MIN(IF(SUBTOTAL(3,OFFSET(sO3LQ,ROW(O3LQ)-ROW(sO3LQ),0,1)),IF(TRUE,IF(O3ST="WhatsApp CALL",O3LQ,FALSE),FALSE),FALSE)),"")</f>
        <v>0</v>
      </c>
      <c r="F41" s="163"/>
      <c r="G41" s="166"/>
    </row>
    <row r="42" spans="2:7" ht="30" customHeight="1" x14ac:dyDescent="0.25">
      <c r="B42" s="132" t="s">
        <v>332</v>
      </c>
      <c r="C42" s="131" t="str">
        <f t="array" aca="1" ref="C42" ca="1">IFERROR(AVERAGE(IF(SUBTOTAL(3,OFFSET(sO1LQ,ROW(O1LQ)-ROW(sO1LQ),0,1)),IF(TRUE,IF(O1ST="WhatsApp CALL",O1LQ,FALSE),FALSE),FALSE)),"0")</f>
        <v>0</v>
      </c>
      <c r="D42" s="131" t="str">
        <f t="array" aca="1" ref="D42" ca="1">IFERROR(AVERAGE(IF(SUBTOTAL(3,OFFSET(sO2LQ,ROW(O2LQ)-ROW(sO2LQ),0,1)),IF(TRUE,IF(O2ST="WhatsApp CALL",O2LQ,FALSE),FALSE),FALSE)),"0")</f>
        <v>0</v>
      </c>
      <c r="E42" s="131" t="str">
        <f t="array" aca="1" ref="E42" ca="1">IFERROR(AVERAGE(IF(SUBTOTAL(3,OFFSET(sO3LQ,ROW(O3LQ)-ROW(sO3LQ),0,1)),IF(TRUE,IF(O3ST="WhatsApp CALL",O3LQ,FALSE),FALSE),FALSE)),"0")</f>
        <v>0</v>
      </c>
      <c r="F42" s="164">
        <v>2</v>
      </c>
      <c r="G42" s="167">
        <v>4.3</v>
      </c>
    </row>
    <row r="43" spans="2:7" ht="30" customHeight="1" x14ac:dyDescent="0.25">
      <c r="B43" s="127" t="s">
        <v>331</v>
      </c>
      <c r="C43" s="130">
        <f t="array" aca="1" ref="C43" ca="1">IFERROR(MAX(IF(SUBTOTAL(3,OFFSET(sO1LQ,ROW(O1LQ)-ROW(sO1LQ),0,1)),IF(TRUE,IF(O1ST="WhatsApp CALL",O1LQ,FALSE),FALSE),FALSE)),"")</f>
        <v>0</v>
      </c>
      <c r="D43" s="130">
        <f t="array" aca="1" ref="D43" ca="1">IFERROR(MAX(IF(SUBTOTAL(3,OFFSET(sO2LQ,ROW(O2LQ)-ROW(sO2LQ),0,1)),IF(TRUE,IF(O2ST="WhatsApp CALL",O2LQ,FALSE),FALSE),FALSE)),"")</f>
        <v>0</v>
      </c>
      <c r="E43" s="130">
        <f t="array" aca="1" ref="E43" ca="1">IFERROR(MAX(IF(SUBTOTAL(3,OFFSET(sO3LQ,ROW(O3LQ)-ROW(sO3LQ),0,1)),IF(TRUE,IF(O3ST="WhatsApp CALL",O3LQ,FALSE),FALSE),FALSE)),"")</f>
        <v>0</v>
      </c>
      <c r="F43" s="153"/>
      <c r="G43" s="158"/>
    </row>
    <row r="44" spans="2:7" ht="30" customHeight="1" x14ac:dyDescent="0.25">
      <c r="B44" s="127" t="s">
        <v>330</v>
      </c>
      <c r="C44" s="130" t="str">
        <f t="array" aca="1" ref="C44" ca="1">IFERROR(PERCENTILE(IF(SUBTOTAL(3,OFFSET(sO1LQ,ROW(O1LQ)-ROW(sO1LQ),0,1)),IF(TRUE,IF(O1ST="WhatsApp CALL",O1LQ,FALSE),FALSE),FALSE),0.1),"0")</f>
        <v>0</v>
      </c>
      <c r="D44" s="130" t="str">
        <f t="array" aca="1" ref="D44" ca="1">IFERROR(PERCENTILE(IF(SUBTOTAL(3,OFFSET(sO2LQ,ROW(O2LQ)-ROW(sO2LQ),0,1)),IF(TRUE,IF(O2ST="WhatsApp CALL",O2LQ,FALSE),FALSE),FALSE),0.1),"0")</f>
        <v>0</v>
      </c>
      <c r="E44" s="130" t="str">
        <f t="array" aca="1" ref="E44" ca="1">IFERROR(PERCENTILE(IF(SUBTOTAL(3,OFFSET(sO3LQ,ROW(O3LQ)-ROW(sO3LQ),0,1)),IF(TRUE,IF(O3ST="WhatsApp CALL",O3LQ,FALSE),FALSE),FALSE),0.1),"0")</f>
        <v>0</v>
      </c>
      <c r="F44" s="153"/>
      <c r="G44" s="158"/>
    </row>
    <row r="45" spans="2:7" ht="30" customHeight="1" x14ac:dyDescent="0.25">
      <c r="B45" s="127" t="s">
        <v>329</v>
      </c>
      <c r="C45" s="130" t="str">
        <f t="array" aca="1" ref="C45" ca="1">IFERROR(PERCENTILE(IF(SUBTOTAL(3,OFFSET(sO1LQ,ROW(O1LQ)-ROW(sO1LQ),0,1)),IF(TRUE,IF(O1ST="WhatsApp CALL",O1LQ,FALSE),FALSE),FALSE),0.5),"0")</f>
        <v>0</v>
      </c>
      <c r="D45" s="130" t="str">
        <f t="array" aca="1" ref="D45" ca="1">IFERROR(PERCENTILE(IF(SUBTOTAL(3,OFFSET(sO2LQ,ROW(O2LQ)-ROW(sO2LQ),0,1)),IF(TRUE,IF(O2ST="WhatsApp CALL",O2LQ,FALSE),FALSE),FALSE),0.5),"0")</f>
        <v>0</v>
      </c>
      <c r="E45" s="130" t="str">
        <f t="array" aca="1" ref="E45" ca="1">IFERROR(PERCENTILE(IF(SUBTOTAL(3,OFFSET(sO3LQ,ROW(O3LQ)-ROW(sO3LQ),0,1)),IF(TRUE,IF(O3ST="WhatsApp CALL",O3LQ,FALSE),FALSE),FALSE),0.5),"0")</f>
        <v>0</v>
      </c>
      <c r="F45" s="153"/>
      <c r="G45" s="158"/>
    </row>
    <row r="46" spans="2:7" ht="30" customHeight="1" thickBot="1" x14ac:dyDescent="0.3">
      <c r="B46" s="129" t="s">
        <v>328</v>
      </c>
      <c r="C46" s="128" t="str">
        <f t="array" aca="1" ref="C46" ca="1">IFERROR(PERCENTILE(IF(SUBTOTAL(3,OFFSET(sO1LQ,ROW(O1LQ)-ROW(sO1LQ),0,1)),IF(TRUE,IF(O1ST="WhatsApp CALL",O1LQ,FALSE),FALSE),FALSE),0.9),"0")</f>
        <v>0</v>
      </c>
      <c r="D46" s="128" t="str">
        <f t="array" aca="1" ref="D46" ca="1">IFERROR(PERCENTILE(IF(SUBTOTAL(3,OFFSET(sO2LQ,ROW(O2LQ)-ROW(sO2LQ),0,1)),IF(TRUE,IF(O2ST="WhatsApp CALL",O2LQ,FALSE),FALSE),FALSE),0.9),"0")</f>
        <v>0</v>
      </c>
      <c r="E46" s="128" t="str">
        <f t="array" aca="1" ref="E46" ca="1">IFERROR(PERCENTILE(IF(SUBTOTAL(3,OFFSET(sO3LQ,ROW(O3LQ)-ROW(sO3LQ),0,1)),IF(TRUE,IF(O3ST="WhatsApp CALL",O3LQ,FALSE),FALSE),FALSE),0.9),"0")</f>
        <v>0</v>
      </c>
      <c r="F46" s="154"/>
      <c r="G46" s="159"/>
    </row>
  </sheetData>
  <sheetProtection sheet="1" objects="1" scenarios="1"/>
  <conditionalFormatting sqref="B4:G4 B6:F6 B8:F8 B10:F10 B12:H12 I5">
    <cfRule type="cellIs" dxfId="2" priority="5" operator="notEqual">
      <formula>$I$4</formula>
    </cfRule>
  </conditionalFormatting>
  <conditionalFormatting sqref="C20:E20">
    <cfRule type="iconSet" priority="4">
      <iconSet reverse="1">
        <cfvo type="percent" val="0"/>
        <cfvo type="num" val="$G$20"/>
        <cfvo type="num" val="$F$20"/>
      </iconSet>
    </cfRule>
  </conditionalFormatting>
  <conditionalFormatting sqref="C22:E22">
    <cfRule type="iconSet" priority="3">
      <iconSet>
        <cfvo type="percent" val="0"/>
        <cfvo type="num" val="$F$22"/>
        <cfvo type="num" val="$G$22"/>
      </iconSet>
    </cfRule>
  </conditionalFormatting>
  <conditionalFormatting sqref="C40:E40">
    <cfRule type="iconSet" priority="2">
      <iconSet reverse="1">
        <cfvo type="percent" val="0"/>
        <cfvo type="num" val="$G$20"/>
        <cfvo type="num" val="$F$20"/>
      </iconSet>
    </cfRule>
  </conditionalFormatting>
  <conditionalFormatting sqref="C42:E42">
    <cfRule type="iconSet" priority="1">
      <iconSet>
        <cfvo type="percent" val="0"/>
        <cfvo type="num" val="$F$22"/>
        <cfvo type="num" val="$G$22"/>
      </iconSet>
    </cfRule>
  </conditionalFormatting>
  <dataValidations disablePrompts="1" count="28">
    <dataValidation type="list" allowBlank="1" showInputMessage="1" showErrorMessage="1" sqref="B4" xr:uid="{00000000-0002-0000-0000-000000000000}">
      <formula1>lists1</formula1>
    </dataValidation>
    <dataValidation type="list" allowBlank="1" showInputMessage="1" showErrorMessage="1" sqref="C4" xr:uid="{00000000-0002-0000-0000-000001000000}">
      <formula1>lists2</formula1>
    </dataValidation>
    <dataValidation type="list" allowBlank="1" showInputMessage="1" showErrorMessage="1" sqref="D4" xr:uid="{00000000-0002-0000-0000-000002000000}">
      <formula1>lists3</formula1>
    </dataValidation>
    <dataValidation type="list" allowBlank="1" showInputMessage="1" showErrorMessage="1" sqref="E4" xr:uid="{00000000-0002-0000-0000-000003000000}">
      <formula1>lists4</formula1>
    </dataValidation>
    <dataValidation type="list" allowBlank="1" showInputMessage="1" showErrorMessage="1" sqref="F4" xr:uid="{00000000-0002-0000-0000-000004000000}">
      <formula1>lists5</formula1>
    </dataValidation>
    <dataValidation type="list" allowBlank="1" showInputMessage="1" showErrorMessage="1" sqref="G4" xr:uid="{00000000-0002-0000-0000-000005000000}">
      <formula1>lists6</formula1>
    </dataValidation>
    <dataValidation type="list" allowBlank="1" showInputMessage="1" showErrorMessage="1" sqref="B6" xr:uid="{00000000-0002-0000-0000-000006000000}">
      <formula1>lists7</formula1>
    </dataValidation>
    <dataValidation type="list" allowBlank="1" showInputMessage="1" showErrorMessage="1" sqref="C6" xr:uid="{00000000-0002-0000-0000-000007000000}">
      <formula1>lists8</formula1>
    </dataValidation>
    <dataValidation type="list" allowBlank="1" showInputMessage="1" showErrorMessage="1" sqref="D6" xr:uid="{00000000-0002-0000-0000-000008000000}">
      <formula1>lists9</formula1>
    </dataValidation>
    <dataValidation type="list" allowBlank="1" showInputMessage="1" showErrorMessage="1" sqref="E6" xr:uid="{00000000-0002-0000-0000-000009000000}">
      <formula1>lists10</formula1>
    </dataValidation>
    <dataValidation type="list" allowBlank="1" showInputMessage="1" showErrorMessage="1" sqref="F6" xr:uid="{00000000-0002-0000-0000-00000A000000}">
      <formula1>lists11</formula1>
    </dataValidation>
    <dataValidation type="list" allowBlank="1" showInputMessage="1" showErrorMessage="1" sqref="B8" xr:uid="{00000000-0002-0000-0000-00000B000000}">
      <formula1>lists12</formula1>
    </dataValidation>
    <dataValidation type="list" allowBlank="1" showInputMessage="1" showErrorMessage="1" sqref="C8" xr:uid="{00000000-0002-0000-0000-00000C000000}">
      <formula1>lists13</formula1>
    </dataValidation>
    <dataValidation type="list" allowBlank="1" showInputMessage="1" showErrorMessage="1" sqref="D8" xr:uid="{00000000-0002-0000-0000-00000D000000}">
      <formula1>lists14</formula1>
    </dataValidation>
    <dataValidation type="list" allowBlank="1" showInputMessage="1" showErrorMessage="1" sqref="E8" xr:uid="{00000000-0002-0000-0000-00000E000000}">
      <formula1>lists15</formula1>
    </dataValidation>
    <dataValidation type="list" allowBlank="1" showInputMessage="1" showErrorMessage="1" sqref="F8" xr:uid="{00000000-0002-0000-0000-00000F000000}">
      <formula1>lists16</formula1>
    </dataValidation>
    <dataValidation type="list" allowBlank="1" showInputMessage="1" showErrorMessage="1" sqref="B10" xr:uid="{00000000-0002-0000-0000-000010000000}">
      <formula1>lists17</formula1>
    </dataValidation>
    <dataValidation type="list" allowBlank="1" showInputMessage="1" showErrorMessage="1" sqref="D10" xr:uid="{00000000-0002-0000-0000-000011000000}">
      <formula1>lists18</formula1>
    </dataValidation>
    <dataValidation type="list" allowBlank="1" showInputMessage="1" showErrorMessage="1" sqref="C10" xr:uid="{00000000-0002-0000-0000-000012000000}">
      <formula1>lists19</formula1>
    </dataValidation>
    <dataValidation type="list" allowBlank="1" showInputMessage="1" showErrorMessage="1" sqref="E10" xr:uid="{00000000-0002-0000-0000-000013000000}">
      <formula1>lists20</formula1>
    </dataValidation>
    <dataValidation type="list" allowBlank="1" showInputMessage="1" showErrorMessage="1" sqref="F10" xr:uid="{00000000-0002-0000-0000-000014000000}">
      <formula1>lists21</formula1>
    </dataValidation>
    <dataValidation type="list" allowBlank="1" showInputMessage="1" showErrorMessage="1" sqref="B12" xr:uid="{00000000-0002-0000-0000-000015000000}">
      <formula1>lists22</formula1>
    </dataValidation>
    <dataValidation type="list" allowBlank="1" showInputMessage="1" showErrorMessage="1" sqref="C12" xr:uid="{00000000-0002-0000-0000-000016000000}">
      <formula1>lists23</formula1>
    </dataValidation>
    <dataValidation type="list" allowBlank="1" showInputMessage="1" showErrorMessage="1" sqref="D12" xr:uid="{00000000-0002-0000-0000-000017000000}">
      <formula1>lists24</formula1>
    </dataValidation>
    <dataValidation type="list" allowBlank="1" showInputMessage="1" showErrorMessage="1" sqref="E12" xr:uid="{00000000-0002-0000-0000-000018000000}">
      <formula1>lists25</formula1>
    </dataValidation>
    <dataValidation type="list" allowBlank="1" showInputMessage="1" showErrorMessage="1" sqref="F12" xr:uid="{00000000-0002-0000-0000-000019000000}">
      <formula1>lists26</formula1>
    </dataValidation>
    <dataValidation type="list" allowBlank="1" showInputMessage="1" showErrorMessage="1" sqref="G12" xr:uid="{00000000-0002-0000-0000-00001A000000}">
      <formula1>lists27</formula1>
    </dataValidation>
    <dataValidation type="list" allowBlank="1" showInputMessage="1" showErrorMessage="1" sqref="H12" xr:uid="{00000000-0002-0000-0000-00001B000000}">
      <formula1>lists28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pplyFilter">
                <anchor moveWithCells="1" sizeWithCells="1">
                  <from>
                    <xdr:col>0</xdr:col>
                    <xdr:colOff>742950</xdr:colOff>
                    <xdr:row>12</xdr:row>
                    <xdr:rowOff>123825</xdr:rowOff>
                  </from>
                  <to>
                    <xdr:col>3</xdr:col>
                    <xdr:colOff>2495550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itLists">
                <anchor moveWithCells="1" sizeWithCells="1">
                  <from>
                    <xdr:col>1</xdr:col>
                    <xdr:colOff>19050</xdr:colOff>
                    <xdr:row>0</xdr:row>
                    <xdr:rowOff>85725</xdr:rowOff>
                  </from>
                  <to>
                    <xdr:col>4</xdr:col>
                    <xdr:colOff>19050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calculateKPIs">
                <anchor moveWithCells="1">
                  <from>
                    <xdr:col>4</xdr:col>
                    <xdr:colOff>142875</xdr:colOff>
                    <xdr:row>12</xdr:row>
                    <xdr:rowOff>142875</xdr:rowOff>
                  </from>
                  <to>
                    <xdr:col>7</xdr:col>
                    <xdr:colOff>781050</xdr:colOff>
                    <xdr:row>13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3:K26"/>
  <sheetViews>
    <sheetView showGridLines="0" zoomScale="55" zoomScaleNormal="55" zoomScaleSheetLayoutView="70" workbookViewId="0">
      <selection activeCell="F9" sqref="F9"/>
    </sheetView>
  </sheetViews>
  <sheetFormatPr baseColWidth="10" defaultColWidth="11.42578125" defaultRowHeight="15" x14ac:dyDescent="0.25"/>
  <cols>
    <col min="1" max="1" width="3.5703125" customWidth="1"/>
    <col min="2" max="2" width="59.28515625" customWidth="1"/>
    <col min="3" max="5" width="34.140625" customWidth="1"/>
    <col min="6" max="6" width="101.28515625" customWidth="1"/>
    <col min="7" max="7" width="44.28515625" bestFit="1" customWidth="1"/>
    <col min="8" max="8" width="32.85546875" style="1" customWidth="1"/>
    <col min="9" max="9" width="31.28515625" customWidth="1"/>
    <col min="10" max="10" width="3.5703125" customWidth="1"/>
  </cols>
  <sheetData>
    <row r="3" spans="1:11" ht="15.75" thickBot="1" x14ac:dyDescent="0.3"/>
    <row r="4" spans="1:11" ht="52.5" customHeight="1" thickBot="1" x14ac:dyDescent="0.3">
      <c r="A4" s="176" t="s">
        <v>61</v>
      </c>
      <c r="B4" s="177"/>
      <c r="C4" s="177"/>
      <c r="D4" s="177"/>
      <c r="E4" s="177"/>
      <c r="F4" s="177"/>
      <c r="G4" s="177"/>
      <c r="H4" s="177"/>
      <c r="I4" s="177"/>
      <c r="J4" s="178"/>
    </row>
    <row r="5" spans="1:11" ht="11.25" customHeight="1" thickBot="1" x14ac:dyDescent="0.3">
      <c r="A5" s="43" t="s">
        <v>60</v>
      </c>
      <c r="B5" s="33"/>
      <c r="C5" s="33"/>
      <c r="D5" s="33"/>
      <c r="E5" s="33"/>
      <c r="F5" s="33"/>
      <c r="G5" s="33"/>
      <c r="H5" s="42"/>
      <c r="I5" s="33"/>
      <c r="J5" s="33"/>
      <c r="K5" s="33"/>
    </row>
    <row r="6" spans="1:11" s="35" customFormat="1" ht="30" customHeight="1" x14ac:dyDescent="0.25">
      <c r="A6" s="41"/>
      <c r="B6" s="179" t="s">
        <v>59</v>
      </c>
      <c r="C6" s="180"/>
      <c r="D6" s="180"/>
      <c r="E6" s="180"/>
      <c r="F6" s="180"/>
      <c r="G6" s="180"/>
      <c r="H6" s="180"/>
      <c r="I6" s="181"/>
      <c r="J6" s="36"/>
      <c r="K6" s="36"/>
    </row>
    <row r="7" spans="1:11" s="35" customFormat="1" ht="30" customHeight="1" thickBot="1" x14ac:dyDescent="0.3">
      <c r="A7" s="41"/>
      <c r="B7" s="40" t="s">
        <v>58</v>
      </c>
      <c r="C7" s="39" t="s">
        <v>57</v>
      </c>
      <c r="D7" s="39" t="s">
        <v>56</v>
      </c>
      <c r="E7" s="39" t="s">
        <v>55</v>
      </c>
      <c r="F7" s="39" t="s">
        <v>54</v>
      </c>
      <c r="G7" s="39" t="s">
        <v>53</v>
      </c>
      <c r="H7" s="38" t="s">
        <v>52</v>
      </c>
      <c r="I7" s="37" t="s">
        <v>51</v>
      </c>
      <c r="J7" s="36"/>
      <c r="K7" s="36"/>
    </row>
    <row r="8" spans="1:11" ht="110.25" customHeight="1" x14ac:dyDescent="0.25">
      <c r="A8" s="34"/>
      <c r="B8" s="32" t="s">
        <v>32</v>
      </c>
      <c r="C8" s="31" t="s">
        <v>50</v>
      </c>
      <c r="D8" s="31" t="s">
        <v>24</v>
      </c>
      <c r="E8" s="30" t="s">
        <v>2</v>
      </c>
      <c r="F8" s="29" t="s">
        <v>49</v>
      </c>
      <c r="G8" s="28" t="s">
        <v>0</v>
      </c>
      <c r="H8" s="27" t="s">
        <v>0</v>
      </c>
      <c r="I8" s="26" t="s">
        <v>0</v>
      </c>
      <c r="J8" s="33"/>
      <c r="K8" s="33"/>
    </row>
    <row r="9" spans="1:11" ht="110.25" customHeight="1" x14ac:dyDescent="0.25">
      <c r="A9" s="34"/>
      <c r="B9" s="25" t="s">
        <v>29</v>
      </c>
      <c r="C9" s="21" t="s">
        <v>48</v>
      </c>
      <c r="D9" s="21" t="s">
        <v>24</v>
      </c>
      <c r="E9" s="20" t="s">
        <v>2</v>
      </c>
      <c r="F9" s="24" t="s">
        <v>47</v>
      </c>
      <c r="G9" s="18" t="s">
        <v>0</v>
      </c>
      <c r="H9" s="17" t="s">
        <v>0</v>
      </c>
      <c r="I9" s="16" t="s">
        <v>0</v>
      </c>
      <c r="J9" s="33"/>
      <c r="K9" s="33"/>
    </row>
    <row r="10" spans="1:11" ht="110.25" customHeight="1" x14ac:dyDescent="0.25">
      <c r="A10" s="34"/>
      <c r="B10" s="25" t="s">
        <v>26</v>
      </c>
      <c r="C10" s="21" t="s">
        <v>46</v>
      </c>
      <c r="D10" s="21" t="s">
        <v>24</v>
      </c>
      <c r="E10" s="20" t="s">
        <v>2</v>
      </c>
      <c r="F10" s="24" t="s">
        <v>45</v>
      </c>
      <c r="G10" s="18" t="s">
        <v>0</v>
      </c>
      <c r="H10" s="17" t="s">
        <v>0</v>
      </c>
      <c r="I10" s="16" t="s">
        <v>0</v>
      </c>
      <c r="J10" s="33"/>
      <c r="K10" s="33"/>
    </row>
    <row r="11" spans="1:11" ht="110.25" customHeight="1" x14ac:dyDescent="0.25">
      <c r="A11" s="34"/>
      <c r="B11" s="25" t="s">
        <v>22</v>
      </c>
      <c r="C11" s="21" t="s">
        <v>44</v>
      </c>
      <c r="D11" s="21" t="s">
        <v>3</v>
      </c>
      <c r="E11" s="20" t="s">
        <v>2</v>
      </c>
      <c r="F11" s="24" t="s">
        <v>43</v>
      </c>
      <c r="G11" s="18" t="s">
        <v>0</v>
      </c>
      <c r="H11" s="17" t="s">
        <v>0</v>
      </c>
      <c r="I11" s="16" t="s">
        <v>0</v>
      </c>
      <c r="J11" s="33"/>
      <c r="K11" s="33"/>
    </row>
    <row r="12" spans="1:11" ht="110.25" customHeight="1" x14ac:dyDescent="0.25">
      <c r="A12" s="34"/>
      <c r="B12" s="25" t="s">
        <v>5</v>
      </c>
      <c r="C12" s="21" t="s">
        <v>42</v>
      </c>
      <c r="D12" s="21" t="s">
        <v>3</v>
      </c>
      <c r="E12" s="20" t="s">
        <v>2</v>
      </c>
      <c r="F12" s="24" t="s">
        <v>41</v>
      </c>
      <c r="G12" s="18" t="s">
        <v>0</v>
      </c>
      <c r="H12" s="17" t="s">
        <v>0</v>
      </c>
      <c r="I12" s="16" t="s">
        <v>0</v>
      </c>
      <c r="J12" s="33"/>
      <c r="K12" s="33"/>
    </row>
    <row r="13" spans="1:11" ht="110.25" customHeight="1" x14ac:dyDescent="0.25">
      <c r="A13" s="34"/>
      <c r="B13" s="25" t="s">
        <v>17</v>
      </c>
      <c r="C13" s="21" t="s">
        <v>40</v>
      </c>
      <c r="D13" s="21" t="s">
        <v>3</v>
      </c>
      <c r="E13" s="20" t="s">
        <v>2</v>
      </c>
      <c r="F13" s="24" t="s">
        <v>39</v>
      </c>
      <c r="G13" s="18" t="s">
        <v>0</v>
      </c>
      <c r="H13" s="17" t="s">
        <v>0</v>
      </c>
      <c r="I13" s="16" t="s">
        <v>0</v>
      </c>
      <c r="J13" s="33"/>
      <c r="K13" s="33"/>
    </row>
    <row r="14" spans="1:11" ht="110.25" customHeight="1" x14ac:dyDescent="0.25">
      <c r="A14" s="34"/>
      <c r="B14" s="23" t="s">
        <v>14</v>
      </c>
      <c r="C14" s="22" t="s">
        <v>38</v>
      </c>
      <c r="D14" s="21" t="s">
        <v>3</v>
      </c>
      <c r="E14" s="20" t="s">
        <v>2</v>
      </c>
      <c r="F14" s="19" t="s">
        <v>37</v>
      </c>
      <c r="G14" s="18" t="s">
        <v>0</v>
      </c>
      <c r="H14" s="17" t="s">
        <v>0</v>
      </c>
      <c r="I14" s="16" t="s">
        <v>0</v>
      </c>
      <c r="J14" s="33"/>
      <c r="K14" s="33"/>
    </row>
    <row r="15" spans="1:11" ht="110.25" customHeight="1" x14ac:dyDescent="0.25">
      <c r="A15" s="34"/>
      <c r="B15" s="23" t="s">
        <v>11</v>
      </c>
      <c r="C15" s="22" t="s">
        <v>36</v>
      </c>
      <c r="D15" s="21" t="s">
        <v>3</v>
      </c>
      <c r="E15" s="20" t="s">
        <v>2</v>
      </c>
      <c r="F15" s="19" t="s">
        <v>35</v>
      </c>
      <c r="G15" s="18" t="s">
        <v>0</v>
      </c>
      <c r="H15" s="17" t="s">
        <v>0</v>
      </c>
      <c r="I15" s="16" t="s">
        <v>0</v>
      </c>
      <c r="J15" s="33"/>
      <c r="K15" s="33"/>
    </row>
    <row r="16" spans="1:11" ht="110.25" customHeight="1" thickBot="1" x14ac:dyDescent="0.3">
      <c r="A16" s="34"/>
      <c r="B16" s="15" t="s">
        <v>8</v>
      </c>
      <c r="C16" s="14" t="s">
        <v>34</v>
      </c>
      <c r="D16" s="14" t="s">
        <v>3</v>
      </c>
      <c r="E16" s="13" t="s">
        <v>2</v>
      </c>
      <c r="F16" s="12" t="s">
        <v>33</v>
      </c>
      <c r="G16" s="11" t="s">
        <v>0</v>
      </c>
      <c r="H16" s="10" t="s">
        <v>0</v>
      </c>
      <c r="I16" s="9" t="s">
        <v>0</v>
      </c>
      <c r="J16" s="33"/>
      <c r="K16" s="33"/>
    </row>
    <row r="17" spans="2:9" ht="110.25" customHeight="1" x14ac:dyDescent="0.25">
      <c r="B17" s="32" t="s">
        <v>32</v>
      </c>
      <c r="C17" s="31" t="s">
        <v>31</v>
      </c>
      <c r="D17" s="31" t="s">
        <v>24</v>
      </c>
      <c r="E17" s="30" t="s">
        <v>2</v>
      </c>
      <c r="F17" s="29" t="s">
        <v>30</v>
      </c>
      <c r="G17" s="28" t="s">
        <v>0</v>
      </c>
      <c r="H17" s="27" t="s">
        <v>0</v>
      </c>
      <c r="I17" s="26" t="s">
        <v>0</v>
      </c>
    </row>
    <row r="18" spans="2:9" ht="110.25" customHeight="1" x14ac:dyDescent="0.25">
      <c r="B18" s="25" t="s">
        <v>29</v>
      </c>
      <c r="C18" s="21" t="s">
        <v>28</v>
      </c>
      <c r="D18" s="21" t="s">
        <v>24</v>
      </c>
      <c r="E18" s="20" t="s">
        <v>2</v>
      </c>
      <c r="F18" s="24" t="s">
        <v>27</v>
      </c>
      <c r="G18" s="18" t="s">
        <v>0</v>
      </c>
      <c r="H18" s="17" t="s">
        <v>0</v>
      </c>
      <c r="I18" s="16" t="s">
        <v>0</v>
      </c>
    </row>
    <row r="19" spans="2:9" ht="110.25" customHeight="1" x14ac:dyDescent="0.25">
      <c r="B19" s="25" t="s">
        <v>26</v>
      </c>
      <c r="C19" s="21" t="s">
        <v>25</v>
      </c>
      <c r="D19" s="21" t="s">
        <v>24</v>
      </c>
      <c r="E19" s="20" t="s">
        <v>2</v>
      </c>
      <c r="F19" s="24" t="s">
        <v>23</v>
      </c>
      <c r="G19" s="18" t="s">
        <v>0</v>
      </c>
      <c r="H19" s="17" t="s">
        <v>0</v>
      </c>
      <c r="I19" s="16" t="s">
        <v>0</v>
      </c>
    </row>
    <row r="20" spans="2:9" ht="110.25" customHeight="1" x14ac:dyDescent="0.25">
      <c r="B20" s="25" t="s">
        <v>22</v>
      </c>
      <c r="C20" s="21" t="s">
        <v>21</v>
      </c>
      <c r="D20" s="21" t="s">
        <v>3</v>
      </c>
      <c r="E20" s="20" t="s">
        <v>2</v>
      </c>
      <c r="F20" s="24" t="s">
        <v>20</v>
      </c>
      <c r="G20" s="18" t="s">
        <v>0</v>
      </c>
      <c r="H20" s="17" t="s">
        <v>0</v>
      </c>
      <c r="I20" s="16" t="s">
        <v>0</v>
      </c>
    </row>
    <row r="21" spans="2:9" ht="110.25" customHeight="1" x14ac:dyDescent="0.25">
      <c r="B21" s="25" t="s">
        <v>5</v>
      </c>
      <c r="C21" s="21" t="s">
        <v>19</v>
      </c>
      <c r="D21" s="21" t="s">
        <v>3</v>
      </c>
      <c r="E21" s="20" t="s">
        <v>2</v>
      </c>
      <c r="F21" s="24" t="s">
        <v>18</v>
      </c>
      <c r="G21" s="18" t="s">
        <v>0</v>
      </c>
      <c r="H21" s="17" t="s">
        <v>0</v>
      </c>
      <c r="I21" s="16" t="s">
        <v>0</v>
      </c>
    </row>
    <row r="22" spans="2:9" ht="110.25" customHeight="1" x14ac:dyDescent="0.25">
      <c r="B22" s="25" t="s">
        <v>17</v>
      </c>
      <c r="C22" s="21" t="s">
        <v>16</v>
      </c>
      <c r="D22" s="21" t="s">
        <v>3</v>
      </c>
      <c r="E22" s="20" t="s">
        <v>2</v>
      </c>
      <c r="F22" s="24" t="s">
        <v>15</v>
      </c>
      <c r="G22" s="18" t="s">
        <v>0</v>
      </c>
      <c r="H22" s="17" t="s">
        <v>0</v>
      </c>
      <c r="I22" s="16" t="s">
        <v>0</v>
      </c>
    </row>
    <row r="23" spans="2:9" ht="110.25" customHeight="1" x14ac:dyDescent="0.25">
      <c r="B23" s="23" t="s">
        <v>14</v>
      </c>
      <c r="C23" s="22" t="s">
        <v>13</v>
      </c>
      <c r="D23" s="21" t="s">
        <v>3</v>
      </c>
      <c r="E23" s="20" t="s">
        <v>2</v>
      </c>
      <c r="F23" s="19" t="s">
        <v>12</v>
      </c>
      <c r="G23" s="18" t="s">
        <v>0</v>
      </c>
      <c r="H23" s="17" t="s">
        <v>0</v>
      </c>
      <c r="I23" s="16" t="s">
        <v>0</v>
      </c>
    </row>
    <row r="24" spans="2:9" ht="110.25" customHeight="1" x14ac:dyDescent="0.25">
      <c r="B24" s="23" t="s">
        <v>11</v>
      </c>
      <c r="C24" s="22" t="s">
        <v>10</v>
      </c>
      <c r="D24" s="21" t="s">
        <v>3</v>
      </c>
      <c r="E24" s="20" t="s">
        <v>2</v>
      </c>
      <c r="F24" s="19" t="s">
        <v>9</v>
      </c>
      <c r="G24" s="18" t="s">
        <v>0</v>
      </c>
      <c r="H24" s="17" t="s">
        <v>0</v>
      </c>
      <c r="I24" s="16" t="s">
        <v>0</v>
      </c>
    </row>
    <row r="25" spans="2:9" ht="110.25" customHeight="1" thickBot="1" x14ac:dyDescent="0.3">
      <c r="B25" s="15" t="s">
        <v>8</v>
      </c>
      <c r="C25" s="14" t="s">
        <v>7</v>
      </c>
      <c r="D25" s="14" t="s">
        <v>3</v>
      </c>
      <c r="E25" s="13" t="s">
        <v>2</v>
      </c>
      <c r="F25" s="12" t="s">
        <v>6</v>
      </c>
      <c r="G25" s="11" t="s">
        <v>0</v>
      </c>
      <c r="H25" s="10" t="s">
        <v>0</v>
      </c>
      <c r="I25" s="9" t="s">
        <v>0</v>
      </c>
    </row>
    <row r="26" spans="2:9" ht="110.25" customHeight="1" thickBot="1" x14ac:dyDescent="0.3">
      <c r="B26" s="8" t="s">
        <v>5</v>
      </c>
      <c r="C26" s="7" t="s">
        <v>4</v>
      </c>
      <c r="D26" s="7" t="s">
        <v>3</v>
      </c>
      <c r="E26" s="6" t="s">
        <v>2</v>
      </c>
      <c r="F26" s="5" t="s">
        <v>1</v>
      </c>
      <c r="G26" s="4" t="s">
        <v>0</v>
      </c>
      <c r="H26" s="3" t="s">
        <v>0</v>
      </c>
      <c r="I26" s="2" t="s">
        <v>0</v>
      </c>
    </row>
  </sheetData>
  <sheetProtection selectLockedCells="1" selectUnlockedCells="1"/>
  <mergeCells count="2">
    <mergeCell ref="A4:J4"/>
    <mergeCell ref="B6:I6"/>
  </mergeCells>
  <pageMargins left="0.7" right="0.7" top="0.78740157499999996" bottom="0.78740157499999996" header="0.3" footer="0.3"/>
  <pageSetup paperSize="9" scale="21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4:O54"/>
  <sheetViews>
    <sheetView showGridLines="0" zoomScale="70" zoomScaleNormal="70" workbookViewId="0">
      <selection activeCell="Q14" sqref="Q14"/>
    </sheetView>
  </sheetViews>
  <sheetFormatPr baseColWidth="10" defaultColWidth="9.140625" defaultRowHeight="15" x14ac:dyDescent="0.25"/>
  <cols>
    <col min="1" max="1" width="45.28515625" customWidth="1"/>
    <col min="2" max="4" width="17.42578125" style="45" customWidth="1"/>
    <col min="5" max="6" width="17.42578125" style="45" hidden="1" customWidth="1"/>
    <col min="7" max="10" width="21.140625" style="44" customWidth="1"/>
    <col min="11" max="13" width="17.42578125" customWidth="1"/>
    <col min="14" max="15" width="17.42578125" hidden="1" customWidth="1"/>
  </cols>
  <sheetData>
    <row r="4" spans="1:15" ht="28.5" thickBot="1" x14ac:dyDescent="0.3">
      <c r="A4" s="88" t="s">
        <v>76</v>
      </c>
      <c r="B4" s="75"/>
      <c r="C4" s="75"/>
      <c r="D4" s="75"/>
      <c r="E4" s="75"/>
      <c r="F4" s="75"/>
      <c r="G4" s="75"/>
      <c r="H4" s="75"/>
      <c r="I4" s="75"/>
      <c r="J4" s="74">
        <f>J7+J14+J21+J28</f>
        <v>40</v>
      </c>
      <c r="K4" s="73">
        <f>K7+K14+K21+K28</f>
        <v>35.124628088871106</v>
      </c>
      <c r="L4" s="73">
        <f>L7+L14+L21+L28</f>
        <v>33.872689733259968</v>
      </c>
      <c r="M4" s="73">
        <f>M7+M14+M21+M28</f>
        <v>31.243491777792574</v>
      </c>
      <c r="N4" s="73">
        <f>N7+N14+N21+N28</f>
        <v>0</v>
      </c>
      <c r="O4" s="73">
        <f>O7+O14+O21+O28</f>
        <v>0</v>
      </c>
    </row>
    <row r="5" spans="1:15" ht="21.75" thickBot="1" x14ac:dyDescent="0.4">
      <c r="A5" s="348"/>
      <c r="B5" s="349" t="s">
        <v>71</v>
      </c>
      <c r="C5" s="350"/>
      <c r="D5" s="350"/>
      <c r="E5" s="350"/>
      <c r="F5" s="351"/>
      <c r="G5" s="350" t="s">
        <v>70</v>
      </c>
      <c r="H5" s="350"/>
      <c r="I5" s="350"/>
      <c r="J5" s="350"/>
      <c r="K5" s="349" t="s">
        <v>69</v>
      </c>
      <c r="L5" s="350"/>
      <c r="M5" s="350"/>
      <c r="N5" s="185"/>
      <c r="O5" s="186"/>
    </row>
    <row r="6" spans="1:15" ht="21.75" thickBot="1" x14ac:dyDescent="0.4">
      <c r="A6" s="352"/>
      <c r="B6" s="450" t="s">
        <v>363</v>
      </c>
      <c r="C6" s="450" t="s">
        <v>364</v>
      </c>
      <c r="D6" s="450" t="s">
        <v>365</v>
      </c>
      <c r="E6" s="71" t="s">
        <v>75</v>
      </c>
      <c r="F6" s="71" t="s">
        <v>74</v>
      </c>
      <c r="G6" s="70" t="s">
        <v>68</v>
      </c>
      <c r="H6" s="70" t="s">
        <v>361</v>
      </c>
      <c r="I6" s="70" t="s">
        <v>67</v>
      </c>
      <c r="J6" s="230" t="s">
        <v>66</v>
      </c>
      <c r="K6" s="451" t="s">
        <v>363</v>
      </c>
      <c r="L6" s="451" t="s">
        <v>364</v>
      </c>
      <c r="M6" s="451" t="s">
        <v>365</v>
      </c>
      <c r="N6" s="332" t="str">
        <f>E6</f>
        <v>Operator 4</v>
      </c>
      <c r="O6" s="69" t="str">
        <f>F6</f>
        <v>Operator 5</v>
      </c>
    </row>
    <row r="7" spans="1:15" ht="24" customHeight="1" thickBot="1" x14ac:dyDescent="0.35">
      <c r="A7" s="205" t="s">
        <v>65</v>
      </c>
      <c r="B7" s="206"/>
      <c r="C7" s="206"/>
      <c r="D7" s="206"/>
      <c r="E7" s="206"/>
      <c r="F7" s="207"/>
      <c r="G7" s="68"/>
      <c r="H7" s="67"/>
      <c r="I7" s="358"/>
      <c r="J7" s="452">
        <f>SUM(J9:J13)</f>
        <v>20</v>
      </c>
      <c r="K7" s="199">
        <f t="shared" ref="K7:M7" si="0">SUM(K9:K13)</f>
        <v>18.85099511921981</v>
      </c>
      <c r="L7" s="201">
        <f t="shared" si="0"/>
        <v>17.956535593810312</v>
      </c>
      <c r="M7" s="197">
        <f t="shared" si="0"/>
        <v>16.716211398577858</v>
      </c>
      <c r="N7" s="333">
        <f>SUM(N9:N10)</f>
        <v>0</v>
      </c>
      <c r="O7" s="197">
        <f>SUM(O9:O10)</f>
        <v>0</v>
      </c>
    </row>
    <row r="8" spans="1:15" ht="23.25" customHeight="1" thickBot="1" x14ac:dyDescent="0.3">
      <c r="A8" s="217" t="s">
        <v>359</v>
      </c>
      <c r="B8" s="66">
        <v>43367</v>
      </c>
      <c r="C8" s="64">
        <v>42326</v>
      </c>
      <c r="D8" s="65">
        <v>42796</v>
      </c>
      <c r="E8" s="64"/>
      <c r="F8" s="234"/>
      <c r="G8" s="63"/>
      <c r="H8" s="62"/>
      <c r="I8" s="359"/>
      <c r="J8" s="453"/>
      <c r="K8" s="200"/>
      <c r="L8" s="202"/>
      <c r="M8" s="198"/>
      <c r="N8" s="334"/>
      <c r="O8" s="198"/>
    </row>
    <row r="9" spans="1:15" ht="23.25" customHeight="1" x14ac:dyDescent="0.35">
      <c r="A9" s="61" t="s">
        <v>63</v>
      </c>
      <c r="B9" s="60">
        <v>4.4769050199458054</v>
      </c>
      <c r="C9" s="58">
        <v>4.4147136511834164</v>
      </c>
      <c r="D9" s="59">
        <v>4.2152771287034883</v>
      </c>
      <c r="E9" s="58">
        <v>2</v>
      </c>
      <c r="F9" s="235">
        <v>4.3</v>
      </c>
      <c r="G9" s="364">
        <v>2</v>
      </c>
      <c r="H9" s="365">
        <v>3.8</v>
      </c>
      <c r="I9" s="366">
        <v>4.5</v>
      </c>
      <c r="J9" s="426">
        <v>7.5</v>
      </c>
      <c r="K9" s="56">
        <f>IF(B8=0,0, IF(B9&lt;=$G9,0,IF(B9&lt;=$H9, 0.8*$J9*(B9-$G9)/($H9-$G9), IF(B9&lt;=$I9, 0.2*$J9*(B9-$H9)/($I9-$H9)+0.8*$J9,$J9) )))</f>
        <v>7.4505107570267253</v>
      </c>
      <c r="L9" s="55">
        <f t="shared" ref="L9:M9" si="1">IF(C8=0,0, IF(C9&lt;=$G9,0,IF(C9&lt;=$H9, 0.8*$J9*(C9-$G9)/($H9-$G9), IF(C9&lt;=$I9, 0.2*$J9*(C9-$H9)/($I9-$H9)+0.8*$J9,$J9) )))</f>
        <v>7.3172435382501781</v>
      </c>
      <c r="M9" s="57">
        <f t="shared" si="1"/>
        <v>6.8898795615074748</v>
      </c>
      <c r="N9" s="218">
        <f>IF(E8&gt;0,IF(E9&lt;=G9,0,IF(E9&gt;=I9,J9,J9*(E9-G9)/(I9-G9))),0)</f>
        <v>0</v>
      </c>
      <c r="O9" s="57">
        <f>IF(F8&gt;0,IF(F9&lt;=G9,0,IF(F9&gt;=I9,J9,J9*(F9-G9)/(I9-G9))),0)</f>
        <v>0</v>
      </c>
    </row>
    <row r="10" spans="1:15" ht="23.25" customHeight="1" thickBot="1" x14ac:dyDescent="0.4">
      <c r="A10" s="52" t="s">
        <v>62</v>
      </c>
      <c r="B10" s="224">
        <v>5.4880439043512351E-3</v>
      </c>
      <c r="C10" s="225">
        <v>9.3086991447337338E-3</v>
      </c>
      <c r="D10" s="225">
        <v>1.5538835405178053E-2</v>
      </c>
      <c r="E10" s="225">
        <v>0.1</v>
      </c>
      <c r="F10" s="236">
        <v>0</v>
      </c>
      <c r="G10" s="367">
        <v>0.1</v>
      </c>
      <c r="H10" s="368">
        <v>0.01</v>
      </c>
      <c r="I10" s="369">
        <v>0</v>
      </c>
      <c r="J10" s="427">
        <v>8.75</v>
      </c>
      <c r="K10" s="51">
        <f>IF(B8=0,0, IF(B10&gt;=$G10,0,IF(B10&gt;=$H10, 0.8*$J10*(B10-$G10)/($H10-$G10), IF(B10&gt;=$I10, 0.2*$J10*(B10-$H10)/($I10-$H10)+0.8*$J10,$J10) )))</f>
        <v>7.7895923167385339</v>
      </c>
      <c r="L10" s="50">
        <f t="shared" ref="L10:M10" si="2">IF(C8=0,0, IF(C10&gt;=$G10,0,IF(C10&gt;=$H10, 0.8*$J10*(C10-$G10)/($H10-$G10), IF(C10&gt;=$I10, 0.2*$J10*(C10-$H10)/($I10-$H10)+0.8*$J10,$J10) )))</f>
        <v>7.1209776496715964</v>
      </c>
      <c r="M10" s="353">
        <f t="shared" si="2"/>
        <v>6.5692016907083737</v>
      </c>
      <c r="N10" s="335">
        <f>IF(E8&gt;0,IF(E10&gt;=G10,0,IF(E10&lt;=I10,J10,J10*(E10-G10)/(I10-G10))),0)</f>
        <v>0</v>
      </c>
      <c r="O10" s="53">
        <f>IF(F8&gt;0,IF(F10&gt;=G10,0,IF(F10&lt;=I10,J10,J10*(F10-G10)/(I10-G10))),0)</f>
        <v>0</v>
      </c>
    </row>
    <row r="11" spans="1:15" ht="23.25" customHeight="1" thickBot="1" x14ac:dyDescent="0.4">
      <c r="A11" s="217" t="s">
        <v>360</v>
      </c>
      <c r="B11" s="66">
        <v>9680</v>
      </c>
      <c r="C11" s="64">
        <v>9510</v>
      </c>
      <c r="D11" s="65">
        <v>9497</v>
      </c>
      <c r="E11" s="64"/>
      <c r="F11" s="234"/>
      <c r="G11" s="370"/>
      <c r="H11" s="371"/>
      <c r="I11" s="372"/>
      <c r="J11" s="428"/>
      <c r="K11" s="226"/>
      <c r="L11" s="227"/>
      <c r="M11" s="228"/>
      <c r="N11" s="218"/>
      <c r="O11" s="57"/>
    </row>
    <row r="12" spans="1:15" ht="23.25" customHeight="1" x14ac:dyDescent="0.35">
      <c r="A12" s="61" t="s">
        <v>63</v>
      </c>
      <c r="B12" s="60">
        <v>4.3126931818181999</v>
      </c>
      <c r="C12" s="58">
        <v>4.272170347003148</v>
      </c>
      <c r="D12" s="59">
        <v>4.2218521638412128</v>
      </c>
      <c r="E12" s="58">
        <v>2</v>
      </c>
      <c r="F12" s="235">
        <v>4.3</v>
      </c>
      <c r="G12" s="364">
        <v>2</v>
      </c>
      <c r="H12" s="373">
        <v>3.8</v>
      </c>
      <c r="I12" s="366">
        <v>4.5</v>
      </c>
      <c r="J12" s="426">
        <v>1.75</v>
      </c>
      <c r="K12" s="56">
        <f>IF(B11=0,0, IF(B12&lt;=$G12,0,IF(B12&lt;=$H12, 0.8*$J12*(B12-$G12)/($H12-$G12), IF(B12&lt;=$I12, 0.2*$J12*(B12-$H12)/($I12-$H12)+0.8*$J12,$J12) )))</f>
        <v>1.6563465909091002</v>
      </c>
      <c r="L12" s="55">
        <f t="shared" ref="L12" si="3">IF(C11=0,0, IF(C12&lt;=$G12,0,IF(C12&lt;=$H12, 0.8*$J12*(C12-$G12)/($H12-$G12), IF(C12&lt;=$I12, 0.2*$J12*(C12-$H12)/($I12-$H12)+0.8*$J12,$J12) )))</f>
        <v>1.6360851735015742</v>
      </c>
      <c r="M12" s="57">
        <f t="shared" ref="M12" si="4">IF(D11=0,0, IF(D12&lt;=$G12,0,IF(D12&lt;=$H12, 0.8*$J12*(D12-$G12)/($H12-$G12), IF(D12&lt;=$I12, 0.2*$J12*(D12-$H12)/($I12-$H12)+0.8*$J12,$J12) )))</f>
        <v>1.6109260819206066</v>
      </c>
      <c r="N12" s="218"/>
      <c r="O12" s="57"/>
    </row>
    <row r="13" spans="1:15" ht="23.25" customHeight="1" thickBot="1" x14ac:dyDescent="0.4">
      <c r="A13" s="52" t="s">
        <v>62</v>
      </c>
      <c r="B13" s="219">
        <v>1.1363636363636363E-3</v>
      </c>
      <c r="C13" s="220">
        <v>2.9442691903259727E-3</v>
      </c>
      <c r="D13" s="220">
        <v>8.844898388964937E-3</v>
      </c>
      <c r="E13" s="220">
        <v>0.1</v>
      </c>
      <c r="F13" s="237">
        <v>0</v>
      </c>
      <c r="G13" s="374">
        <v>0.1</v>
      </c>
      <c r="H13" s="375">
        <v>0.01</v>
      </c>
      <c r="I13" s="376">
        <v>0</v>
      </c>
      <c r="J13" s="429">
        <v>2</v>
      </c>
      <c r="K13" s="221">
        <f>IF(B11=0,0, IF(B13&gt;=$G13,0,IF(B13&gt;=$H13, 0.8*$J13*(B13-$G13)/($H13-$G13), IF(B13&gt;=$I13, 0.2*$J13*(B13-$H13)/($I13-$H13)+0.8*$J13,$J13) )))</f>
        <v>1.9545454545454546</v>
      </c>
      <c r="L13" s="222">
        <f t="shared" ref="L13" si="5">IF(C11=0,0, IF(C13&gt;=$G13,0,IF(C13&gt;=$H13, 0.8*$J13*(C13-$G13)/($H13-$G13), IF(C13&gt;=$I13, 0.2*$J13*(C13-$H13)/($I13-$H13)+0.8*$J13,$J13) )))</f>
        <v>1.8822292323869612</v>
      </c>
      <c r="M13" s="223">
        <f t="shared" ref="M13" si="6">IF(D11=0,0, IF(D13&gt;=$G13,0,IF(D13&gt;=$H13, 0.8*$J13*(D13-$G13)/($H13-$G13), IF(D13&gt;=$I13, 0.2*$J13*(D13-$H13)/($I13-$H13)+0.8*$J13,$J13) )))</f>
        <v>1.6462040644414027</v>
      </c>
      <c r="N13" s="218"/>
      <c r="O13" s="57"/>
    </row>
    <row r="14" spans="1:15" ht="24" customHeight="1" thickBot="1" x14ac:dyDescent="0.35">
      <c r="A14" s="242" t="s">
        <v>73</v>
      </c>
      <c r="B14" s="243"/>
      <c r="C14" s="243"/>
      <c r="D14" s="243"/>
      <c r="E14" s="243"/>
      <c r="F14" s="244"/>
      <c r="G14" s="360"/>
      <c r="H14" s="245"/>
      <c r="I14" s="361"/>
      <c r="J14" s="430">
        <f>SUM(J16:J20)</f>
        <v>6</v>
      </c>
      <c r="K14" s="246">
        <f t="shared" ref="K14:M14" si="7">SUM(K16:K20)</f>
        <v>5.5083346521828638</v>
      </c>
      <c r="L14" s="247">
        <f t="shared" si="7"/>
        <v>5.0195727904110443</v>
      </c>
      <c r="M14" s="354">
        <f t="shared" si="7"/>
        <v>4.5092195638805679</v>
      </c>
      <c r="N14" s="336">
        <f>SUM(N16:N17)</f>
        <v>0</v>
      </c>
      <c r="O14" s="195">
        <f>SUM(O16:O17)</f>
        <v>0</v>
      </c>
    </row>
    <row r="15" spans="1:15" ht="23.25" customHeight="1" thickBot="1" x14ac:dyDescent="0.3">
      <c r="A15" s="248" t="s">
        <v>359</v>
      </c>
      <c r="B15" s="249">
        <v>18068</v>
      </c>
      <c r="C15" s="250">
        <v>17492</v>
      </c>
      <c r="D15" s="250">
        <v>16666</v>
      </c>
      <c r="E15" s="250"/>
      <c r="F15" s="251"/>
      <c r="G15" s="362"/>
      <c r="H15" s="252"/>
      <c r="I15" s="363"/>
      <c r="J15" s="431"/>
      <c r="K15" s="253"/>
      <c r="L15" s="254"/>
      <c r="M15" s="355"/>
      <c r="N15" s="337"/>
      <c r="O15" s="196"/>
    </row>
    <row r="16" spans="1:15" ht="23.25" customHeight="1" x14ac:dyDescent="0.35">
      <c r="A16" s="255" t="s">
        <v>63</v>
      </c>
      <c r="B16" s="256">
        <v>4.4248295328758243</v>
      </c>
      <c r="C16" s="257">
        <v>4.2772970500800307</v>
      </c>
      <c r="D16" s="257">
        <v>4.0083061322452558</v>
      </c>
      <c r="E16" s="257">
        <v>2</v>
      </c>
      <c r="F16" s="258">
        <v>4.3</v>
      </c>
      <c r="G16" s="377">
        <v>2</v>
      </c>
      <c r="H16" s="378">
        <v>3.8</v>
      </c>
      <c r="I16" s="379">
        <v>4.5</v>
      </c>
      <c r="J16" s="432">
        <f>J9*2*0.15</f>
        <v>2.25</v>
      </c>
      <c r="K16" s="259">
        <f>IF(B15=0,0, IF(B16&lt;=$G16,0,IF(B16&lt;=$H16, 0.8*$J16*(B16-$G16)/($H16-$G16), IF(B16&lt;=$I16, 0.2*$J16*(B16-$H16)/($I16-$H16)+0.8*$J16,$J16) )))</f>
        <v>2.2016761282773158</v>
      </c>
      <c r="L16" s="260">
        <f t="shared" ref="L16" si="8">IF(C15=0,0, IF(C16&lt;=$G16,0,IF(C16&lt;=$H16, 0.8*$J16*(C16-$G16)/($H16-$G16), IF(C16&lt;=$I16, 0.2*$J16*(C16-$H16)/($I16-$H16)+0.8*$J16,$J16) )))</f>
        <v>2.1068338179085915</v>
      </c>
      <c r="M16" s="272">
        <f t="shared" ref="M16" si="9">IF(D15=0,0, IF(D16&lt;=$G16,0,IF(D16&lt;=$H16, 0.8*$J16*(D16-$G16)/($H16-$G16), IF(D16&lt;=$I16, 0.2*$J16*(D16-$H16)/($I16-$H16)+0.8*$J16,$J16) )))</f>
        <v>1.9339110850148074</v>
      </c>
      <c r="N16" s="338">
        <f>IF(E8&gt;0,IF(E16&lt;=G16,0,IF(E16&gt;=I16,J16,J16*(E16-G16)/(I16-G16))),0)</f>
        <v>0</v>
      </c>
      <c r="O16" s="86">
        <f>IF(F8&gt;0,IF(F16&lt;=G16,0,IF(F16&gt;=I16,J16,J16*(F16-G16)/(I16-G16))),0)</f>
        <v>0</v>
      </c>
    </row>
    <row r="17" spans="1:15" ht="23.25" customHeight="1" thickBot="1" x14ac:dyDescent="0.4">
      <c r="A17" s="261" t="s">
        <v>62</v>
      </c>
      <c r="B17" s="262">
        <v>7.3057338941775515E-3</v>
      </c>
      <c r="C17" s="263">
        <v>1.9666133089412303E-2</v>
      </c>
      <c r="D17" s="263">
        <v>3.0181207248289932E-2</v>
      </c>
      <c r="E17" s="263">
        <v>0.1</v>
      </c>
      <c r="F17" s="264">
        <v>0</v>
      </c>
      <c r="G17" s="380">
        <v>0.1</v>
      </c>
      <c r="H17" s="381">
        <v>0.01</v>
      </c>
      <c r="I17" s="382">
        <v>0</v>
      </c>
      <c r="J17" s="433">
        <f>J10*2*0.15</f>
        <v>2.625</v>
      </c>
      <c r="K17" s="265">
        <f>IF(B15=0,0, IF(B17&gt;=$G17,0,IF(B17&gt;=$H17, 0.8*$J17*(B17-$G17)/($H17-$G17), IF(B17&gt;=$I17, 0.2*$J17*(B17-$H17)/($I17-$H17)+0.8*$J17,$J17) )))</f>
        <v>2.2414489705556786</v>
      </c>
      <c r="L17" s="266">
        <f t="shared" ref="L17" si="10">IF(C15=0,0, IF(C17&gt;=$G17,0,IF(C17&gt;=$H17, 0.8*$J17*(C17-$G17)/($H17-$G17), IF(C17&gt;=$I17, 0.2*$J17*(C17-$H17)/($I17-$H17)+0.8*$J17,$J17) )))</f>
        <v>1.8744568945803797</v>
      </c>
      <c r="M17" s="356">
        <f t="shared" ref="M17" si="11">IF(D15=0,0, IF(D17&gt;=$G17,0,IF(D17&gt;=$H17, 0.8*$J17*(D17-$G17)/($H17-$G17), IF(D17&gt;=$I17, 0.2*$J17*(D17-$H17)/($I17-$H17)+0.8*$J17,$J17) )))</f>
        <v>1.6291051642065684</v>
      </c>
      <c r="N17" s="339">
        <f>IF(E8&gt;0,IF(E17&gt;=G17,0,IF(E17&lt;=I17,J17,J17*(E17-G17)/(I17-G17))),0)</f>
        <v>0</v>
      </c>
      <c r="O17" s="85">
        <f>IF(F8&gt;0,IF(F17&gt;=G17,0,IF(F17&lt;=I17,J17,J17*(F17-G17)/(I17-G17))),0)</f>
        <v>0</v>
      </c>
    </row>
    <row r="18" spans="1:15" ht="23.25" customHeight="1" thickBot="1" x14ac:dyDescent="0.4">
      <c r="A18" s="248" t="s">
        <v>360</v>
      </c>
      <c r="B18" s="249">
        <v>4030</v>
      </c>
      <c r="C18" s="250">
        <v>3850</v>
      </c>
      <c r="D18" s="267">
        <v>3570</v>
      </c>
      <c r="E18" s="250"/>
      <c r="F18" s="251"/>
      <c r="G18" s="383"/>
      <c r="H18" s="384"/>
      <c r="I18" s="385"/>
      <c r="J18" s="434"/>
      <c r="K18" s="268"/>
      <c r="L18" s="269"/>
      <c r="M18" s="270"/>
      <c r="N18" s="338"/>
      <c r="O18" s="86"/>
    </row>
    <row r="19" spans="1:15" ht="23.25" customHeight="1" x14ac:dyDescent="0.35">
      <c r="A19" s="255" t="s">
        <v>63</v>
      </c>
      <c r="B19" s="256">
        <v>4.2999081885855635</v>
      </c>
      <c r="C19" s="257">
        <v>4.2543480519480141</v>
      </c>
      <c r="D19" s="271">
        <v>4.190686274509769</v>
      </c>
      <c r="E19" s="257">
        <v>2</v>
      </c>
      <c r="F19" s="258">
        <v>4.3</v>
      </c>
      <c r="G19" s="377">
        <v>2</v>
      </c>
      <c r="H19" s="386">
        <v>3.8</v>
      </c>
      <c r="I19" s="379">
        <v>4.5</v>
      </c>
      <c r="J19" s="432">
        <f t="shared" ref="J19:J20" si="12">J12*2*0.15</f>
        <v>0.52500000000000002</v>
      </c>
      <c r="K19" s="259">
        <f>IF(B18=0,0, IF(B19&lt;=$G19,0,IF(B19&lt;=$H19, 0.8*$J19*(B19-$G19)/($H19-$G19), IF(B19&lt;=$I19, 0.2*$J19*(B19-$H19)/($I19-$H19)+0.8*$J19,$J19) )))</f>
        <v>0.49498622828783456</v>
      </c>
      <c r="L19" s="260">
        <f t="shared" ref="L19" si="13">IF(C18=0,0, IF(C19&lt;=$G19,0,IF(C19&lt;=$H19, 0.8*$J19*(C19-$G19)/($H19-$G19), IF(C19&lt;=$I19, 0.2*$J19*(C19-$H19)/($I19-$H19)+0.8*$J19,$J19) )))</f>
        <v>0.48815220779220214</v>
      </c>
      <c r="M19" s="272">
        <f t="shared" ref="M19" si="14">IF(D18=0,0, IF(D19&lt;=$G19,0,IF(D19&lt;=$H19, 0.8*$J19*(D19-$G19)/($H19-$G19), IF(D19&lt;=$I19, 0.2*$J19*(D19-$H19)/($I19-$H19)+0.8*$J19,$J19) )))</f>
        <v>0.4786029411764654</v>
      </c>
      <c r="N19" s="338"/>
      <c r="O19" s="86"/>
    </row>
    <row r="20" spans="1:15" ht="23.25" customHeight="1" thickBot="1" x14ac:dyDescent="0.4">
      <c r="A20" s="261" t="s">
        <v>62</v>
      </c>
      <c r="B20" s="273">
        <v>2.4813895781637717E-3</v>
      </c>
      <c r="C20" s="274">
        <v>4.1558441558441558E-3</v>
      </c>
      <c r="D20" s="274">
        <v>1.2324929971988795E-2</v>
      </c>
      <c r="E20" s="274">
        <v>0.1</v>
      </c>
      <c r="F20" s="275">
        <v>0</v>
      </c>
      <c r="G20" s="380">
        <v>0.1</v>
      </c>
      <c r="H20" s="387">
        <v>0.01</v>
      </c>
      <c r="I20" s="382">
        <v>0</v>
      </c>
      <c r="J20" s="433">
        <f t="shared" si="12"/>
        <v>0.6</v>
      </c>
      <c r="K20" s="276">
        <f>IF(B18=0,0, IF(B20&gt;=$G20,0,IF(B20&gt;=$H20, 0.8*$J20*(B20-$G20)/($H20-$G20), IF(B20&gt;=$I20, 0.2*$J20*(B20-$H20)/($I20-$H20)+0.8*$J20,$J20) )))</f>
        <v>0.57022332506203477</v>
      </c>
      <c r="L20" s="277">
        <f t="shared" ref="L20" si="15">IF(C18=0,0, IF(C20&gt;=$G20,0,IF(C20&gt;=$H20, 0.8*$J20*(C20-$G20)/($H20-$G20), IF(C20&gt;=$I20, 0.2*$J20*(C20-$H20)/($I20-$H20)+0.8*$J20,$J20) )))</f>
        <v>0.55012987012987014</v>
      </c>
      <c r="M20" s="278">
        <f t="shared" ref="M20" si="16">IF(D18=0,0, IF(D20&gt;=$G20,0,IF(D20&gt;=$H20, 0.8*$J20*(D20-$G20)/($H20-$G20), IF(D20&gt;=$I20, 0.2*$J20*(D20-$H20)/($I20-$H20)+0.8*$J20,$J20) )))</f>
        <v>0.46760037348272637</v>
      </c>
      <c r="N20" s="338"/>
      <c r="O20" s="86"/>
    </row>
    <row r="21" spans="1:15" ht="24" customHeight="1" thickBot="1" x14ac:dyDescent="0.35">
      <c r="A21" s="208" t="s">
        <v>64</v>
      </c>
      <c r="B21" s="209"/>
      <c r="C21" s="209"/>
      <c r="D21" s="209"/>
      <c r="E21" s="209"/>
      <c r="F21" s="210"/>
      <c r="G21" s="388"/>
      <c r="H21" s="389"/>
      <c r="I21" s="390"/>
      <c r="J21" s="435">
        <f>SUM(J23:J27)</f>
        <v>10</v>
      </c>
      <c r="K21" s="203">
        <f t="shared" ref="K21:M21" si="17">SUM(K23:K27)</f>
        <v>9.0270896083187235</v>
      </c>
      <c r="L21" s="182">
        <f t="shared" si="17"/>
        <v>8.877992518176848</v>
      </c>
      <c r="M21" s="187">
        <f t="shared" si="17"/>
        <v>8.7045439809074949</v>
      </c>
      <c r="N21" s="340">
        <f>SUM(N23:N24)</f>
        <v>0</v>
      </c>
      <c r="O21" s="187">
        <f>SUM(O23:O24)</f>
        <v>0</v>
      </c>
    </row>
    <row r="22" spans="1:15" ht="23.25" customHeight="1" thickBot="1" x14ac:dyDescent="0.3">
      <c r="A22" s="279" t="s">
        <v>359</v>
      </c>
      <c r="B22" s="280">
        <v>24029</v>
      </c>
      <c r="C22" s="281">
        <v>23523</v>
      </c>
      <c r="D22" s="281">
        <v>23112</v>
      </c>
      <c r="E22" s="281"/>
      <c r="F22" s="282"/>
      <c r="G22" s="391"/>
      <c r="H22" s="392"/>
      <c r="I22" s="393"/>
      <c r="J22" s="436"/>
      <c r="K22" s="204"/>
      <c r="L22" s="183"/>
      <c r="M22" s="188"/>
      <c r="N22" s="341"/>
      <c r="O22" s="188"/>
    </row>
    <row r="23" spans="1:15" ht="23.25" customHeight="1" x14ac:dyDescent="0.35">
      <c r="A23" s="283" t="s">
        <v>63</v>
      </c>
      <c r="B23" s="284">
        <v>4.4099005368514117</v>
      </c>
      <c r="C23" s="285">
        <v>4.4060553500829895</v>
      </c>
      <c r="D23" s="285">
        <v>4.3091043613707791</v>
      </c>
      <c r="E23" s="285">
        <v>2</v>
      </c>
      <c r="F23" s="286">
        <v>4.3</v>
      </c>
      <c r="G23" s="394">
        <v>2</v>
      </c>
      <c r="H23" s="395">
        <v>3.8</v>
      </c>
      <c r="I23" s="396">
        <v>4.5</v>
      </c>
      <c r="J23" s="437">
        <f>J9/2</f>
        <v>3.75</v>
      </c>
      <c r="K23" s="296">
        <f>IF(B22=0,0, IF(B23&lt;=$G23,0,IF(B23&lt;=$H23, 0.8*$J23*(B23-$G23)/($H23-$G23), IF(B23&lt;=$I23, 0.2*$J23*(B23-$H23)/($I23-$H23)+0.8*$J23,$J23) )))</f>
        <v>3.6534648609122269</v>
      </c>
      <c r="L23" s="297">
        <f t="shared" ref="L23" si="18">IF(C22=0,0, IF(C23&lt;=$G23,0,IF(C23&lt;=$H23, 0.8*$J23*(C23-$G23)/($H23-$G23), IF(C23&lt;=$I23, 0.2*$J23*(C23-$H23)/($I23-$H23)+0.8*$J23,$J23) )))</f>
        <v>3.64934501794606</v>
      </c>
      <c r="M23" s="303">
        <f t="shared" ref="M23" si="19">IF(D22=0,0, IF(D23&lt;=$G23,0,IF(D23&lt;=$H23, 0.8*$J23*(D23-$G23)/($H23-$G23), IF(D23&lt;=$I23, 0.2*$J23*(D23-$H23)/($I23-$H23)+0.8*$J23,$J23) )))</f>
        <v>3.5454689586115489</v>
      </c>
      <c r="N23" s="342">
        <f>IF(E8&gt;0,IF(E23&lt;=G23,0,IF(E23&gt;=I23,J23,J23*(E23-G23)/(I23-G23))),0)</f>
        <v>0</v>
      </c>
      <c r="O23" s="47">
        <f>IF(F8&gt;0,IF(F23&lt;=G23,0,IF(F23&gt;=I23,J23,J23*(F23-G23)/(I23-G23))),0)</f>
        <v>0</v>
      </c>
    </row>
    <row r="24" spans="1:15" ht="23.25" customHeight="1" thickBot="1" x14ac:dyDescent="0.4">
      <c r="A24" s="287" t="s">
        <v>62</v>
      </c>
      <c r="B24" s="288">
        <v>7.4077156768904244E-3</v>
      </c>
      <c r="C24" s="289">
        <v>9.7351528291459415E-3</v>
      </c>
      <c r="D24" s="289">
        <v>1.2028383523710627E-2</v>
      </c>
      <c r="E24" s="289">
        <v>0.1</v>
      </c>
      <c r="F24" s="290">
        <v>0</v>
      </c>
      <c r="G24" s="397">
        <v>0.1</v>
      </c>
      <c r="H24" s="398">
        <v>0.01</v>
      </c>
      <c r="I24" s="399">
        <v>0</v>
      </c>
      <c r="J24" s="438">
        <f>J10/2</f>
        <v>4.375</v>
      </c>
      <c r="K24" s="298">
        <f>IF(B22=0,0, IF(B24&gt;=$G24,0,IF(B24&gt;=$H24, 0.8*$J24*(B24-$G24)/($H24-$G24), IF(B24&gt;=$I24, 0.2*$J24*(B24-$H24)/($I24-$H24)+0.8*$J24,$J24) )))</f>
        <v>3.7268248782720881</v>
      </c>
      <c r="L24" s="299">
        <f t="shared" ref="L24" si="20">IF(C22=0,0, IF(C24&gt;=$G24,0,IF(C24&gt;=$H24, 0.8*$J24*(C24-$G24)/($H24-$G24), IF(C24&gt;=$I24, 0.2*$J24*(C24-$H24)/($I24-$H24)+0.8*$J24,$J24) )))</f>
        <v>3.5231741274497304</v>
      </c>
      <c r="M24" s="357">
        <f t="shared" ref="M24" si="21">IF(D22=0,0, IF(D24&gt;=$G24,0,IF(D24&gt;=$H24, 0.8*$J24*(D24-$G24)/($H24-$G24), IF(D24&gt;=$I24, 0.2*$J24*(D24-$H24)/($I24-$H24)+0.8*$J24,$J24) )))</f>
        <v>3.4211184185223642</v>
      </c>
      <c r="N24" s="343">
        <f>IF(E8&gt;0,IF(E24&gt;=G24,0,IF(E24&lt;=I24,J24,J24*(E24-G24)/(I24-G24))),0)</f>
        <v>0</v>
      </c>
      <c r="O24" s="46">
        <f>IF(F8&gt;0,IF(F24&gt;=G24,0,IF(F24&lt;=I24,J24,J24*(F24-G24)/(I24-G24))),0)</f>
        <v>0</v>
      </c>
    </row>
    <row r="25" spans="1:15" ht="23.25" customHeight="1" thickBot="1" x14ac:dyDescent="0.4">
      <c r="A25" s="279" t="s">
        <v>360</v>
      </c>
      <c r="B25" s="280">
        <v>5349</v>
      </c>
      <c r="C25" s="281">
        <v>5239</v>
      </c>
      <c r="D25" s="291">
        <v>5300</v>
      </c>
      <c r="E25" s="281"/>
      <c r="F25" s="282"/>
      <c r="G25" s="391"/>
      <c r="H25" s="392"/>
      <c r="I25" s="393"/>
      <c r="J25" s="439"/>
      <c r="K25" s="300"/>
      <c r="L25" s="301"/>
      <c r="M25" s="302"/>
      <c r="N25" s="342"/>
      <c r="O25" s="47"/>
    </row>
    <row r="26" spans="1:15" ht="23.25" customHeight="1" x14ac:dyDescent="0.35">
      <c r="A26" s="283" t="s">
        <v>63</v>
      </c>
      <c r="B26" s="284">
        <v>4.2602224714899615</v>
      </c>
      <c r="C26" s="285">
        <v>4.2647260927657671</v>
      </c>
      <c r="D26" s="292">
        <v>4.2537132075471602</v>
      </c>
      <c r="E26" s="285">
        <v>2</v>
      </c>
      <c r="F26" s="286">
        <v>4.3</v>
      </c>
      <c r="G26" s="394">
        <v>2</v>
      </c>
      <c r="H26" s="400">
        <v>3.8</v>
      </c>
      <c r="I26" s="396">
        <v>4.5</v>
      </c>
      <c r="J26" s="437">
        <f t="shared" ref="J26:J27" si="22">J12/2</f>
        <v>0.875</v>
      </c>
      <c r="K26" s="296">
        <f>IF(B25=0,0, IF(B26&lt;=$G26,0,IF(B26&lt;=$H26, 0.8*$J26*(B26-$G26)/($H26-$G26), IF(B26&lt;=$I26, 0.2*$J26*(B26-$H26)/($I26-$H26)+0.8*$J26,$J26) )))</f>
        <v>0.81505561787249048</v>
      </c>
      <c r="L26" s="297">
        <f t="shared" ref="L26" si="23">IF(C25=0,0, IF(C26&lt;=$G26,0,IF(C26&lt;=$H26, 0.8*$J26*(C26-$G26)/($H26-$G26), IF(C26&lt;=$I26, 0.2*$J26*(C26-$H26)/($I26-$H26)+0.8*$J26,$J26) )))</f>
        <v>0.81618152319144188</v>
      </c>
      <c r="M26" s="303">
        <f t="shared" ref="M26" si="24">IF(D25=0,0, IF(D26&lt;=$G26,0,IF(D26&lt;=$H26, 0.8*$J26*(D26-$G26)/($H26-$G26), IF(D26&lt;=$I26, 0.2*$J26*(D26-$H26)/($I26-$H26)+0.8*$J26,$J26) )))</f>
        <v>0.81342830188679016</v>
      </c>
      <c r="N26" s="342"/>
      <c r="O26" s="47"/>
    </row>
    <row r="27" spans="1:15" ht="23.25" customHeight="1" thickBot="1" x14ac:dyDescent="0.4">
      <c r="A27" s="287" t="s">
        <v>62</v>
      </c>
      <c r="B27" s="293">
        <v>8.4127874369040942E-3</v>
      </c>
      <c r="C27" s="294">
        <v>5.5354075205191833E-3</v>
      </c>
      <c r="D27" s="294">
        <v>3.7735849056603774E-3</v>
      </c>
      <c r="E27" s="294">
        <v>0.1</v>
      </c>
      <c r="F27" s="295">
        <v>0</v>
      </c>
      <c r="G27" s="397">
        <v>0.1</v>
      </c>
      <c r="H27" s="401">
        <v>0.01</v>
      </c>
      <c r="I27" s="399">
        <v>0</v>
      </c>
      <c r="J27" s="438">
        <f t="shared" si="22"/>
        <v>1</v>
      </c>
      <c r="K27" s="304">
        <f>IF(B25=0,0, IF(B27&gt;=$G27,0,IF(B27&gt;=$H27, 0.8*$J27*(B27-$G27)/($H27-$G27), IF(B27&gt;=$I27, 0.2*$J27*(B27-$H27)/($I27-$H27)+0.8*$J27,$J27) )))</f>
        <v>0.8317442512619182</v>
      </c>
      <c r="L27" s="305">
        <f t="shared" ref="L27" si="25">IF(C25=0,0, IF(C27&gt;=$G27,0,IF(C27&gt;=$H27, 0.8*$J27*(C27-$G27)/($H27-$G27), IF(C27&gt;=$I27, 0.2*$J27*(C27-$H27)/($I27-$H27)+0.8*$J27,$J27) )))</f>
        <v>0.88929184958961638</v>
      </c>
      <c r="M27" s="306">
        <f t="shared" ref="M27" si="26">IF(D25=0,0, IF(D27&gt;=$G27,0,IF(D27&gt;=$H27, 0.8*$J27*(D27-$G27)/($H27-$G27), IF(D27&gt;=$I27, 0.2*$J27*(D27-$H27)/($I27-$H27)+0.8*$J27,$J27) )))</f>
        <v>0.92452830188679247</v>
      </c>
      <c r="N27" s="342"/>
      <c r="O27" s="47"/>
    </row>
    <row r="28" spans="1:15" ht="24" customHeight="1" thickBot="1" x14ac:dyDescent="0.35">
      <c r="A28" s="211" t="s">
        <v>72</v>
      </c>
      <c r="B28" s="212"/>
      <c r="C28" s="212"/>
      <c r="D28" s="212"/>
      <c r="E28" s="212"/>
      <c r="F28" s="238"/>
      <c r="G28" s="402"/>
      <c r="H28" s="403"/>
      <c r="I28" s="404"/>
      <c r="J28" s="440">
        <f>SUM(J30:J34)</f>
        <v>4</v>
      </c>
      <c r="K28" s="189">
        <f t="shared" ref="K28:M28" si="27">SUM(K30:K34)</f>
        <v>1.73820870914971</v>
      </c>
      <c r="L28" s="191">
        <f t="shared" si="27"/>
        <v>2.0185888308617672</v>
      </c>
      <c r="M28" s="193">
        <f t="shared" si="27"/>
        <v>1.3135168344266543</v>
      </c>
      <c r="N28" s="344">
        <f>SUM(N30:N31)</f>
        <v>0</v>
      </c>
      <c r="O28" s="193">
        <f>SUM(O30:O31)</f>
        <v>0</v>
      </c>
    </row>
    <row r="29" spans="1:15" ht="23.25" customHeight="1" thickBot="1" x14ac:dyDescent="0.3">
      <c r="A29" s="307" t="s">
        <v>359</v>
      </c>
      <c r="B29" s="87">
        <v>4665</v>
      </c>
      <c r="C29" s="84">
        <v>4814</v>
      </c>
      <c r="D29" s="84">
        <v>4075</v>
      </c>
      <c r="E29" s="84"/>
      <c r="F29" s="239"/>
      <c r="G29" s="405"/>
      <c r="H29" s="406"/>
      <c r="I29" s="407"/>
      <c r="J29" s="441"/>
      <c r="K29" s="190"/>
      <c r="L29" s="192"/>
      <c r="M29" s="194"/>
      <c r="N29" s="345"/>
      <c r="O29" s="194"/>
    </row>
    <row r="30" spans="1:15" ht="23.25" customHeight="1" x14ac:dyDescent="0.35">
      <c r="A30" s="308" t="s">
        <v>63</v>
      </c>
      <c r="B30" s="83">
        <v>3.8219442658092211</v>
      </c>
      <c r="C30" s="83">
        <v>3.9008412962193604</v>
      </c>
      <c r="D30" s="83">
        <v>3.3283975460122761</v>
      </c>
      <c r="E30" s="83">
        <v>2</v>
      </c>
      <c r="F30" s="240">
        <v>4.3</v>
      </c>
      <c r="G30" s="408">
        <v>2</v>
      </c>
      <c r="H30" s="409">
        <v>3.8</v>
      </c>
      <c r="I30" s="410">
        <v>4.5</v>
      </c>
      <c r="J30" s="442">
        <f>J9*2*0.1</f>
        <v>1.5</v>
      </c>
      <c r="K30" s="82">
        <f>IF(B29=0,0, IF(B30&lt;=$G30,0,IF(B30&lt;=$H30, 0.8*$J30*(B30-$G30)/($H30-$G30), IF(B30&lt;=$I30, 0.2*$J30*(B30-$H30)/($I30-$H30)+0.8*$J30,$J30) )))</f>
        <v>1.2094046853468092</v>
      </c>
      <c r="L30" s="81">
        <f t="shared" ref="L30" si="28">IF(C29=0,0, IF(C30&lt;=$G30,0,IF(C30&lt;=$H30, 0.8*$J30*(C30-$G30)/($H30-$G30), IF(C30&lt;=$I30, 0.2*$J30*(C30-$H30)/($I30-$H30)+0.8*$J30,$J30) )))</f>
        <v>1.2432176983797261</v>
      </c>
      <c r="M30" s="80">
        <f t="shared" ref="M30" si="29">IF(D29=0,0, IF(D30&lt;=$G30,0,IF(D30&lt;=$H30, 0.8*$J30*(D30-$G30)/($H30-$G30), IF(D30&lt;=$I30, 0.2*$J30*(D30-$H30)/($I30-$H30)+0.8*$J30,$J30) )))</f>
        <v>0.88559836400818437</v>
      </c>
      <c r="N30" s="346">
        <f>IF(E8&gt;0,IF(E30&lt;=G30,0,IF(E30&gt;=I30,J30,J30*(E30-G30)/(I30-G30))),0)</f>
        <v>0</v>
      </c>
      <c r="O30" s="80">
        <f>IF(F8&gt;0,IF(F30&lt;=G30,0,IF(F30&gt;=I30,J30,J30*(F30-G30)/(I30-G30))),0)</f>
        <v>0</v>
      </c>
    </row>
    <row r="31" spans="1:15" ht="23.25" customHeight="1" thickBot="1" x14ac:dyDescent="0.4">
      <c r="A31" s="309" t="s">
        <v>62</v>
      </c>
      <c r="B31" s="79">
        <v>9.5391211146838156E-2</v>
      </c>
      <c r="C31" s="79">
        <v>8.1221437474034069E-2</v>
      </c>
      <c r="D31" s="79">
        <v>0.12220858895705522</v>
      </c>
      <c r="E31" s="79">
        <v>0.1</v>
      </c>
      <c r="F31" s="241">
        <v>0</v>
      </c>
      <c r="G31" s="411">
        <v>0.1</v>
      </c>
      <c r="H31" s="412">
        <v>0.01</v>
      </c>
      <c r="I31" s="413">
        <v>0</v>
      </c>
      <c r="J31" s="443">
        <f>J10*2*0.1</f>
        <v>1.75</v>
      </c>
      <c r="K31" s="78">
        <f>IF(B29=0,0, IF(B31&gt;=$G31,0,IF(B31&gt;=$H31, 0.8*$J31*(B31-$G31)/($H31-$G31), IF(B31&gt;=$I31, 0.2*$J31*(B31-$H31)/($I31-$H31)+0.8*$J31,$J31) )))</f>
        <v>7.1692271049184311E-2</v>
      </c>
      <c r="L31" s="77">
        <f t="shared" ref="L31" si="30">IF(C29=0,0, IF(C31&gt;=$G31,0,IF(C31&gt;=$H31, 0.8*$J31*(C31-$G31)/($H31-$G31), IF(C31&gt;=$I31, 0.2*$J31*(C31-$H31)/($I31-$H31)+0.8*$J31,$J31) )))</f>
        <v>0.29211097262613678</v>
      </c>
      <c r="M31" s="76">
        <f t="shared" ref="M31" si="31">IF(D29=0,0, IF(D31&gt;=$G31,0,IF(D31&gt;=$H31, 0.8*$J31*(D31-$G31)/($H31-$G31), IF(D31&gt;=$I31, 0.2*$J31*(D31-$H31)/($I31-$H31)+0.8*$J31,$J31) )))</f>
        <v>0</v>
      </c>
      <c r="N31" s="347">
        <f>IF(E8&gt;0,IF(E31&gt;=G31,0,IF(E31&lt;=I31,J31,J31*(E31-G31)/(I31-G31))),0)</f>
        <v>0</v>
      </c>
      <c r="O31" s="76">
        <f>IF(F8&gt;0,IF(F31&gt;=G31,0,IF(F31&lt;=I31,J31,J31*(F31-G31)/(I31-G31))),0)</f>
        <v>0</v>
      </c>
    </row>
    <row r="32" spans="1:15" ht="23.25" customHeight="1" thickBot="1" x14ac:dyDescent="0.4">
      <c r="A32" s="307" t="s">
        <v>360</v>
      </c>
      <c r="B32" s="312">
        <v>1039</v>
      </c>
      <c r="C32" s="313">
        <v>987</v>
      </c>
      <c r="D32" s="314">
        <v>770</v>
      </c>
      <c r="E32" s="313"/>
      <c r="F32" s="315"/>
      <c r="G32" s="414"/>
      <c r="H32" s="415"/>
      <c r="I32" s="416"/>
      <c r="J32" s="444"/>
      <c r="K32" s="316"/>
      <c r="L32" s="317"/>
      <c r="M32" s="318"/>
      <c r="N32" s="229"/>
      <c r="O32" s="231"/>
    </row>
    <row r="33" spans="1:15" ht="23.25" customHeight="1" x14ac:dyDescent="0.35">
      <c r="A33" s="310" t="s">
        <v>63</v>
      </c>
      <c r="B33" s="319">
        <v>3.9319345524542846</v>
      </c>
      <c r="C33" s="320">
        <v>3.9341438703140792</v>
      </c>
      <c r="D33" s="321">
        <v>3.8477272727272682</v>
      </c>
      <c r="E33" s="320">
        <v>2</v>
      </c>
      <c r="F33" s="322">
        <v>4.3</v>
      </c>
      <c r="G33" s="417">
        <v>2</v>
      </c>
      <c r="H33" s="418">
        <v>3.8</v>
      </c>
      <c r="I33" s="419">
        <v>4.5</v>
      </c>
      <c r="J33" s="445">
        <f t="shared" ref="J33:J34" si="32">J12*2*0.1</f>
        <v>0.35000000000000003</v>
      </c>
      <c r="K33" s="323">
        <f>IF(B32=0,0, IF(B33&lt;=$G33,0,IF(B33&lt;=$H33, 0.8*$J33*(B33-$G33)/($H33-$G33), IF(B33&lt;=$I33, 0.2*$J33*(B33-$H33)/($I33-$H33)+0.8*$J33,$J33) )))</f>
        <v>0.2931934552454285</v>
      </c>
      <c r="L33" s="324">
        <f t="shared" ref="L33" si="33">IF(C32=0,0, IF(C33&lt;=$G33,0,IF(C33&lt;=$H33, 0.8*$J33*(C33-$G33)/($H33-$G33), IF(C33&lt;=$I33, 0.2*$J33*(C33-$H33)/($I33-$H33)+0.8*$J33,$J33) )))</f>
        <v>0.29341438703140799</v>
      </c>
      <c r="M33" s="325">
        <f t="shared" ref="M33" si="34">IF(D32=0,0, IF(D33&lt;=$G33,0,IF(D33&lt;=$H33, 0.8*$J33*(D33-$G33)/($H33-$G33), IF(D33&lt;=$I33, 0.2*$J33*(D33-$H33)/($I33-$H33)+0.8*$J33,$J33) )))</f>
        <v>0.28477272727272684</v>
      </c>
      <c r="N33" s="229"/>
      <c r="O33" s="231"/>
    </row>
    <row r="34" spans="1:15" ht="23.25" customHeight="1" thickBot="1" x14ac:dyDescent="0.4">
      <c r="A34" s="311" t="s">
        <v>62</v>
      </c>
      <c r="B34" s="326">
        <v>5.389797882579403E-2</v>
      </c>
      <c r="C34" s="327">
        <v>4.6605876393110438E-2</v>
      </c>
      <c r="D34" s="327">
        <v>5.9740259740259739E-2</v>
      </c>
      <c r="E34" s="327">
        <v>0.1</v>
      </c>
      <c r="F34" s="328">
        <v>0</v>
      </c>
      <c r="G34" s="420">
        <v>0.1</v>
      </c>
      <c r="H34" s="421">
        <v>0.01</v>
      </c>
      <c r="I34" s="422">
        <v>0</v>
      </c>
      <c r="J34" s="446">
        <f t="shared" si="32"/>
        <v>0.4</v>
      </c>
      <c r="K34" s="329">
        <f>IF(B32=0,0, IF(B34&gt;=$G34,0,IF(B34&gt;=$H34, 0.8*$J34*(B34-$G34)/($H34-$G34), IF(B34&gt;=$I34, 0.2*$J34*(B34-$H34)/($I34-$H34)+0.8*$J34,$J34) )))</f>
        <v>0.16391829750828793</v>
      </c>
      <c r="L34" s="330">
        <f t="shared" ref="L34" si="35">IF(C32=0,0, IF(C34&gt;=$G34,0,IF(C34&gt;=$H34, 0.8*$J34*(C34-$G34)/($H34-$G34), IF(C34&gt;=$I34, 0.2*$J34*(C34-$H34)/($I34-$H34)+0.8*$J34,$J34) )))</f>
        <v>0.18984577282449625</v>
      </c>
      <c r="M34" s="331">
        <f t="shared" ref="M34" si="36">IF(D32=0,0, IF(D34&gt;=$G34,0,IF(D34&gt;=$H34, 0.8*$J34*(D34-$G34)/($H34-$G34), IF(D34&gt;=$I34, 0.2*$J34*(D34-$H34)/($I34-$H34)+0.8*$J34,$J34) )))</f>
        <v>0.14314574314574316</v>
      </c>
      <c r="N34" s="232"/>
      <c r="O34" s="233"/>
    </row>
    <row r="38" spans="1:15" ht="27.75" customHeight="1" thickBot="1" x14ac:dyDescent="0.3">
      <c r="A38" s="213" t="s">
        <v>362</v>
      </c>
      <c r="B38" s="214"/>
      <c r="C38" s="214"/>
      <c r="D38" s="75"/>
      <c r="E38" s="75"/>
      <c r="F38" s="75"/>
      <c r="G38" s="75"/>
      <c r="H38" s="75"/>
      <c r="I38" s="75"/>
      <c r="J38" s="74">
        <f>J41+J48</f>
        <v>50</v>
      </c>
      <c r="K38" s="73">
        <f t="shared" ref="K38:M38" si="37">K41+K48</f>
        <v>47.536512660958948</v>
      </c>
      <c r="L38" s="73">
        <f t="shared" si="37"/>
        <v>48.164865028287842</v>
      </c>
      <c r="M38" s="73">
        <f t="shared" si="37"/>
        <v>45.565694993578148</v>
      </c>
      <c r="N38" s="73" t="e">
        <f t="shared" ref="J38:O38" si="38">N41+N46</f>
        <v>#REF!</v>
      </c>
      <c r="O38" s="73" t="e">
        <f t="shared" si="38"/>
        <v>#REF!</v>
      </c>
    </row>
    <row r="39" spans="1:15" ht="27" thickBot="1" x14ac:dyDescent="0.45">
      <c r="A39" s="72" t="s">
        <v>352</v>
      </c>
      <c r="B39" s="184" t="s">
        <v>71</v>
      </c>
      <c r="C39" s="185"/>
      <c r="D39" s="185"/>
      <c r="E39" s="185"/>
      <c r="F39" s="186"/>
      <c r="G39" s="184" t="s">
        <v>70</v>
      </c>
      <c r="H39" s="185"/>
      <c r="I39" s="185"/>
      <c r="J39" s="186"/>
      <c r="K39" s="184" t="s">
        <v>69</v>
      </c>
      <c r="L39" s="185"/>
      <c r="M39" s="185"/>
      <c r="N39" s="185"/>
      <c r="O39" s="186"/>
    </row>
    <row r="40" spans="1:15" ht="21.75" thickBot="1" x14ac:dyDescent="0.4">
      <c r="A40" s="44"/>
      <c r="B40" s="451" t="s">
        <v>363</v>
      </c>
      <c r="C40" s="451" t="s">
        <v>364</v>
      </c>
      <c r="D40" s="451" t="s">
        <v>365</v>
      </c>
      <c r="E40" s="71" t="e">
        <f>#REF!</f>
        <v>#REF!</v>
      </c>
      <c r="F40" s="71" t="e">
        <f>#REF!</f>
        <v>#REF!</v>
      </c>
      <c r="G40" s="70" t="s">
        <v>68</v>
      </c>
      <c r="H40" s="70"/>
      <c r="I40" s="70" t="s">
        <v>67</v>
      </c>
      <c r="J40" s="70" t="s">
        <v>66</v>
      </c>
      <c r="K40" s="451" t="s">
        <v>363</v>
      </c>
      <c r="L40" s="451" t="s">
        <v>364</v>
      </c>
      <c r="M40" s="451" t="s">
        <v>365</v>
      </c>
      <c r="N40" s="69" t="e">
        <f>E40</f>
        <v>#REF!</v>
      </c>
      <c r="O40" s="69" t="e">
        <f>F40</f>
        <v>#REF!</v>
      </c>
    </row>
    <row r="41" spans="1:15" ht="22.5" customHeight="1" thickBot="1" x14ac:dyDescent="0.35">
      <c r="A41" s="205" t="s">
        <v>65</v>
      </c>
      <c r="B41" s="206"/>
      <c r="C41" s="206"/>
      <c r="D41" s="206"/>
      <c r="E41" s="206"/>
      <c r="F41" s="207"/>
      <c r="G41" s="68"/>
      <c r="H41" s="67"/>
      <c r="I41" s="358"/>
      <c r="J41" s="452">
        <f>SUM(J43:J47)</f>
        <v>30</v>
      </c>
      <c r="K41" s="199">
        <f t="shared" ref="K41:M41" si="39">SUM(K43:K47)</f>
        <v>29.784574663677123</v>
      </c>
      <c r="L41" s="201">
        <f t="shared" si="39"/>
        <v>29.608933490044244</v>
      </c>
      <c r="M41" s="197">
        <f t="shared" si="39"/>
        <v>27.817928174770355</v>
      </c>
      <c r="N41" s="201">
        <f t="shared" ref="N41:O41" si="40">SUM(N43:N45)</f>
        <v>0</v>
      </c>
      <c r="O41" s="197">
        <f t="shared" si="40"/>
        <v>0</v>
      </c>
    </row>
    <row r="42" spans="1:15" ht="24" customHeight="1" thickBot="1" x14ac:dyDescent="0.3">
      <c r="A42" s="217" t="s">
        <v>359</v>
      </c>
      <c r="B42" s="66">
        <v>3345</v>
      </c>
      <c r="C42" s="64">
        <v>3390</v>
      </c>
      <c r="D42" s="65">
        <v>3426</v>
      </c>
      <c r="E42" s="64"/>
      <c r="F42" s="234"/>
      <c r="G42" s="63"/>
      <c r="H42" s="62"/>
      <c r="I42" s="359"/>
      <c r="J42" s="453"/>
      <c r="K42" s="200"/>
      <c r="L42" s="202"/>
      <c r="M42" s="198"/>
      <c r="N42" s="202"/>
      <c r="O42" s="198"/>
    </row>
    <row r="43" spans="1:15" ht="24" customHeight="1" x14ac:dyDescent="0.35">
      <c r="A43" s="61" t="s">
        <v>63</v>
      </c>
      <c r="B43" s="60">
        <v>4.5465440956651832</v>
      </c>
      <c r="C43" s="58">
        <v>4.5334719764011995</v>
      </c>
      <c r="D43" s="59">
        <v>4.3973671920607247</v>
      </c>
      <c r="E43" s="58">
        <v>2</v>
      </c>
      <c r="F43" s="235">
        <v>4.3</v>
      </c>
      <c r="G43" s="364">
        <v>2</v>
      </c>
      <c r="H43" s="365">
        <v>3.8</v>
      </c>
      <c r="I43" s="366">
        <v>4.5</v>
      </c>
      <c r="J43" s="426">
        <f>J9*2*400/320*0.6</f>
        <v>11.25</v>
      </c>
      <c r="K43" s="56">
        <f>IF(B42=0,0, IF(B43&lt;=$G43,0,IF(B43&lt;=$H43, 0.8*$J43*(B43-$G43)/($H43-$G43), IF(B43&lt;=$I43, 0.2*$J43*(B43-$H43)/($I43-$H43)+0.8*$J43,$J43) )))</f>
        <v>11.25</v>
      </c>
      <c r="L43" s="55">
        <f t="shared" ref="L43" si="41">IF(C42=0,0, IF(C43&lt;=$G43,0,IF(C43&lt;=$H43, 0.8*$J43*(C43-$G43)/($H43-$G43), IF(C43&lt;=$I43, 0.2*$J43*(C43-$H43)/($I43-$H43)+0.8*$J43,$J43) )))</f>
        <v>11.25</v>
      </c>
      <c r="M43" s="57">
        <f t="shared" ref="M43" si="42">IF(D42=0,0, IF(D43&lt;=$G43,0,IF(D43&lt;=$H43, 0.8*$J43*(D43-$G43)/($H43-$G43), IF(D43&lt;=$I43, 0.2*$J43*(D43-$H43)/($I43-$H43)+0.8*$J43,$J43) )))</f>
        <v>10.920108831623757</v>
      </c>
      <c r="N43" s="55">
        <f>IF(E42&gt;0,IF(E43&lt;=G43,0,IF(E43&gt;=I43,J43,J43*(E43-G43)/(I43-G43))),0)</f>
        <v>0</v>
      </c>
      <c r="O43" s="57">
        <f>IF(F42&gt;0,IF(F43&lt;=G43,0,IF(F43&gt;=I43,J43,J43*(F43-G43)/(I43-G43))),0)</f>
        <v>0</v>
      </c>
    </row>
    <row r="44" spans="1:15" ht="24" customHeight="1" thickBot="1" x14ac:dyDescent="0.4">
      <c r="A44" s="52" t="s">
        <v>62</v>
      </c>
      <c r="B44" s="224">
        <v>2.9895366218236175E-4</v>
      </c>
      <c r="C44" s="225">
        <v>8.8495575221238937E-4</v>
      </c>
      <c r="D44" s="225">
        <v>6.1295971978984239E-3</v>
      </c>
      <c r="E44" s="225">
        <v>0.1</v>
      </c>
      <c r="F44" s="236">
        <v>0</v>
      </c>
      <c r="G44" s="367">
        <v>0.1</v>
      </c>
      <c r="H44" s="368">
        <v>0.01</v>
      </c>
      <c r="I44" s="369">
        <v>0</v>
      </c>
      <c r="J44" s="427">
        <f>J10*2*400/320*0.6</f>
        <v>13.125</v>
      </c>
      <c r="K44" s="51">
        <f>IF(B42=0,0, IF(B44&gt;=$G44,0,IF(B44&gt;=$H44, 0.8*$J44*(B44-$G44)/($H44-$G44), IF(B44&gt;=$I44, 0.2*$J44*(B44-$H44)/($I44-$H44)+0.8*$J44,$J44) )))</f>
        <v>13.046524663677129</v>
      </c>
      <c r="L44" s="50">
        <f t="shared" ref="L44" si="43">IF(C42=0,0, IF(C44&gt;=$G44,0,IF(C44&gt;=$H44, 0.8*$J44*(C44-$G44)/($H44-$G44), IF(C44&gt;=$I44, 0.2*$J44*(C44-$H44)/($I44-$H44)+0.8*$J44,$J44) )))</f>
        <v>12.892699115044248</v>
      </c>
      <c r="M44" s="353">
        <f t="shared" ref="M44" si="44">IF(D42=0,0, IF(D44&gt;=$G44,0,IF(D44&gt;=$H44, 0.8*$J44*(D44-$G44)/($H44-$G44), IF(D44&gt;=$I44, 0.2*$J44*(D44-$H44)/($I44-$H44)+0.8*$J44,$J44) )))</f>
        <v>11.515980735551665</v>
      </c>
      <c r="N44" s="54">
        <f>IF(E42&gt;0,IF(E44&gt;=G44,0,IF(E44&lt;=I44,J44,J44*(E44-G44)/(I44-G44))),0)</f>
        <v>0</v>
      </c>
      <c r="O44" s="53">
        <f>IF(F42&gt;0,IF(F44&gt;=G44,0,IF(F44&lt;=I44,J44,J44*(F44-G44)/(I44-G44))),0)</f>
        <v>0</v>
      </c>
    </row>
    <row r="45" spans="1:15" ht="24" customHeight="1" thickBot="1" x14ac:dyDescent="0.4">
      <c r="A45" s="217" t="s">
        <v>360</v>
      </c>
      <c r="B45" s="66">
        <v>800</v>
      </c>
      <c r="C45" s="64">
        <v>800</v>
      </c>
      <c r="D45" s="65">
        <v>790</v>
      </c>
      <c r="E45" s="64"/>
      <c r="F45" s="234"/>
      <c r="G45" s="370"/>
      <c r="H45" s="371"/>
      <c r="I45" s="372"/>
      <c r="J45" s="428"/>
      <c r="K45" s="226"/>
      <c r="L45" s="227"/>
      <c r="M45" s="228"/>
      <c r="N45" s="49">
        <f>IF(E42&gt;0,IF(E45&lt;=G45,0,IF(E45&gt;=I45,J45,J45*(E45-G45)/(I45-G45))),0)</f>
        <v>0</v>
      </c>
      <c r="O45" s="48">
        <f>IF(F42&gt;0,IF(F45&lt;=G45,0,IF(F45&gt;=I45,J45,J45*(F45-G45)/(I45-G45))),0)</f>
        <v>0</v>
      </c>
    </row>
    <row r="46" spans="1:15" ht="24" customHeight="1" x14ac:dyDescent="0.35">
      <c r="A46" s="61" t="s">
        <v>63</v>
      </c>
      <c r="B46" s="60">
        <v>4.3173999999999921</v>
      </c>
      <c r="C46" s="58">
        <v>4.2883124999999964</v>
      </c>
      <c r="D46" s="59">
        <v>4.2770506329113873</v>
      </c>
      <c r="E46" s="58">
        <v>2</v>
      </c>
      <c r="F46" s="235">
        <v>4.3</v>
      </c>
      <c r="G46" s="364">
        <v>2</v>
      </c>
      <c r="H46" s="373">
        <v>3.8</v>
      </c>
      <c r="I46" s="366">
        <v>4.5</v>
      </c>
      <c r="J46" s="426">
        <f t="shared" ref="J46:J47" si="45">J12*2*400/320*0.6</f>
        <v>2.625</v>
      </c>
      <c r="K46" s="56">
        <f>IF(B45=0,0, IF(B46&lt;=$G46,0,IF(B46&lt;=$H46, 0.8*$J46*(B46-$G46)/($H46-$G46), IF(B46&lt;=$I46, 0.2*$J46*(B46-$H46)/($I46-$H46)+0.8*$J46,$J46) )))</f>
        <v>2.4880499999999941</v>
      </c>
      <c r="L46" s="55">
        <f t="shared" ref="L46" si="46">IF(C45=0,0, IF(C46&lt;=$G46,0,IF(C46&lt;=$H46, 0.8*$J46*(C46-$G46)/($H46-$G46), IF(C46&lt;=$I46, 0.2*$J46*(C46-$H46)/($I46-$H46)+0.8*$J46,$J46) )))</f>
        <v>2.4662343749999973</v>
      </c>
      <c r="M46" s="57">
        <f t="shared" ref="M46" si="47">IF(D45=0,0, IF(D46&lt;=$G46,0,IF(D46&lt;=$H46, 0.8*$J46*(D46-$G46)/($H46-$G46), IF(D46&lt;=$I46, 0.2*$J46*(D46-$H46)/($I46-$H46)+0.8*$J46,$J46) )))</f>
        <v>2.4577879746835407</v>
      </c>
      <c r="N46" s="182" t="e">
        <f>SUM(#REF!)</f>
        <v>#REF!</v>
      </c>
      <c r="O46" s="187" t="e">
        <f>SUM(#REF!)</f>
        <v>#REF!</v>
      </c>
    </row>
    <row r="47" spans="1:15" ht="24" customHeight="1" thickBot="1" x14ac:dyDescent="0.4">
      <c r="A47" s="52" t="s">
        <v>62</v>
      </c>
      <c r="B47" s="219">
        <v>0</v>
      </c>
      <c r="C47" s="220">
        <v>0</v>
      </c>
      <c r="D47" s="220">
        <v>1.2658227848101266E-3</v>
      </c>
      <c r="E47" s="220">
        <v>0.1</v>
      </c>
      <c r="F47" s="237">
        <v>0</v>
      </c>
      <c r="G47" s="374">
        <v>0.1</v>
      </c>
      <c r="H47" s="375">
        <v>0.01</v>
      </c>
      <c r="I47" s="376">
        <v>0</v>
      </c>
      <c r="J47" s="429">
        <f t="shared" si="45"/>
        <v>3</v>
      </c>
      <c r="K47" s="221">
        <f>IF(B45=0,0, IF(B47&gt;=$G47,0,IF(B47&gt;=$H47, 0.8*$J47*(B47-$G47)/($H47-$G47), IF(B47&gt;=$I47, 0.2*$J47*(B47-$H47)/($I47-$H47)+0.8*$J47,$J47) )))</f>
        <v>3.0000000000000004</v>
      </c>
      <c r="L47" s="222">
        <f t="shared" ref="L47" si="48">IF(C45=0,0, IF(C47&gt;=$G47,0,IF(C47&gt;=$H47, 0.8*$J47*(C47-$G47)/($H47-$G47), IF(C47&gt;=$I47, 0.2*$J47*(C47-$H47)/($I47-$H47)+0.8*$J47,$J47) )))</f>
        <v>3.0000000000000004</v>
      </c>
      <c r="M47" s="223">
        <f t="shared" ref="M47" si="49">IF(D45=0,0, IF(D47&gt;=$G47,0,IF(D47&gt;=$H47, 0.8*$J47*(D47-$G47)/($H47-$G47), IF(D47&gt;=$I47, 0.2*$J47*(D47-$H47)/($I47-$H47)+0.8*$J47,$J47) )))</f>
        <v>2.9240506329113929</v>
      </c>
      <c r="N47" s="183"/>
      <c r="O47" s="188"/>
    </row>
    <row r="48" spans="1:15" ht="24" customHeight="1" thickBot="1" x14ac:dyDescent="0.35">
      <c r="A48" s="208" t="s">
        <v>64</v>
      </c>
      <c r="B48" s="209"/>
      <c r="C48" s="209"/>
      <c r="D48" s="209"/>
      <c r="E48" s="209"/>
      <c r="F48" s="210"/>
      <c r="G48" s="388"/>
      <c r="H48" s="389"/>
      <c r="I48" s="390"/>
      <c r="J48" s="435">
        <f>SUM(J50:J54)</f>
        <v>20</v>
      </c>
      <c r="K48" s="203">
        <f t="shared" ref="K48:M48" si="50">SUM(K50:K54)</f>
        <v>17.751937997281829</v>
      </c>
      <c r="L48" s="182">
        <f t="shared" si="50"/>
        <v>18.555931538243598</v>
      </c>
      <c r="M48" s="187">
        <f t="shared" si="50"/>
        <v>17.747766818807793</v>
      </c>
    </row>
    <row r="49" spans="1:13" ht="24" customHeight="1" thickBot="1" x14ac:dyDescent="0.3">
      <c r="A49" s="279" t="s">
        <v>359</v>
      </c>
      <c r="B49" s="280">
        <v>2958</v>
      </c>
      <c r="C49" s="281">
        <v>2857</v>
      </c>
      <c r="D49" s="281">
        <v>2613</v>
      </c>
      <c r="E49" s="281"/>
      <c r="F49" s="282"/>
      <c r="G49" s="391"/>
      <c r="H49" s="392"/>
      <c r="I49" s="393"/>
      <c r="J49" s="436"/>
      <c r="K49" s="204"/>
      <c r="L49" s="183"/>
      <c r="M49" s="188"/>
    </row>
    <row r="50" spans="1:13" ht="24" customHeight="1" x14ac:dyDescent="0.35">
      <c r="A50" s="283" t="s">
        <v>63</v>
      </c>
      <c r="B50" s="284">
        <v>4.4358215010142077</v>
      </c>
      <c r="C50" s="285">
        <v>4.4848477423871289</v>
      </c>
      <c r="D50" s="285">
        <v>4.3119594336012463</v>
      </c>
      <c r="E50" s="285">
        <v>2</v>
      </c>
      <c r="F50" s="286">
        <v>4.3</v>
      </c>
      <c r="G50" s="394">
        <v>2</v>
      </c>
      <c r="H50" s="395">
        <v>3.8</v>
      </c>
      <c r="I50" s="396">
        <v>4.5</v>
      </c>
      <c r="J50" s="437">
        <f>J9*2*400/320*0.4</f>
        <v>7.5</v>
      </c>
      <c r="K50" s="296">
        <f>IF(B49=0,0, IF(B50&lt;=$G50,0,IF(B50&lt;=$H50, 0.8*$J50*(B50-$G50)/($H50-$G50), IF(B50&lt;=$I50, 0.2*$J50*(B50-$H50)/($I50-$H50)+0.8*$J50,$J50) )))</f>
        <v>7.3624746450304448</v>
      </c>
      <c r="L50" s="297">
        <f t="shared" ref="L50" si="51">IF(C49=0,0, IF(C50&lt;=$G50,0,IF(C50&lt;=$H50, 0.8*$J50*(C50-$G50)/($H50-$G50), IF(C50&lt;=$I50, 0.2*$J50*(C50-$H50)/($I50-$H50)+0.8*$J50,$J50) )))</f>
        <v>7.4675308765438473</v>
      </c>
      <c r="M50" s="303">
        <f t="shared" ref="M50" si="52">IF(D49=0,0, IF(D50&lt;=$G50,0,IF(D50&lt;=$H50, 0.8*$J50*(D50-$G50)/($H50-$G50), IF(D50&lt;=$I50, 0.2*$J50*(D50-$H50)/($I50-$H50)+0.8*$J50,$J50) )))</f>
        <v>7.0970559291455277</v>
      </c>
    </row>
    <row r="51" spans="1:13" ht="24" customHeight="1" thickBot="1" x14ac:dyDescent="0.4">
      <c r="A51" s="287" t="s">
        <v>62</v>
      </c>
      <c r="B51" s="288">
        <v>6.4232589587559161E-3</v>
      </c>
      <c r="C51" s="289">
        <v>4.5502275113755691E-3</v>
      </c>
      <c r="D51" s="289">
        <v>8.802143130501339E-3</v>
      </c>
      <c r="E51" s="289">
        <v>0.1</v>
      </c>
      <c r="F51" s="290">
        <v>0</v>
      </c>
      <c r="G51" s="397">
        <v>0.1</v>
      </c>
      <c r="H51" s="398">
        <v>0.01</v>
      </c>
      <c r="I51" s="399">
        <v>0</v>
      </c>
      <c r="J51" s="438">
        <f>J10*2*400/320*0.4</f>
        <v>8.75</v>
      </c>
      <c r="K51" s="298">
        <f>IF(B49=0,0, IF(B51&gt;=$G51,0,IF(B51&gt;=$H51, 0.8*$J51*(B51-$G51)/($H51-$G51), IF(B51&gt;=$I51, 0.2*$J51*(B51-$H51)/($I51-$H51)+0.8*$J51,$J51) )))</f>
        <v>7.6259296822177145</v>
      </c>
      <c r="L51" s="299">
        <f t="shared" ref="L51" si="53">IF(C49=0,0, IF(C51&gt;=$G51,0,IF(C51&gt;=$H51, 0.8*$J51*(C51-$G51)/($H51-$G51), IF(C51&gt;=$I51, 0.2*$J51*(C51-$H51)/($I51-$H51)+0.8*$J51,$J51) )))</f>
        <v>7.9537101855092756</v>
      </c>
      <c r="M51" s="357">
        <f t="shared" ref="M51" si="54">IF(D49=0,0, IF(D51&gt;=$G51,0,IF(D51&gt;=$H51, 0.8*$J51*(D51-$G51)/($H51-$G51), IF(D51&gt;=$I51, 0.2*$J51*(D51-$H51)/($I51-$H51)+0.8*$J51,$J51) )))</f>
        <v>7.2096249521622653</v>
      </c>
    </row>
    <row r="52" spans="1:13" ht="24" customHeight="1" thickBot="1" x14ac:dyDescent="0.4">
      <c r="A52" s="279" t="s">
        <v>360</v>
      </c>
      <c r="B52" s="280">
        <v>660</v>
      </c>
      <c r="C52" s="281">
        <v>630</v>
      </c>
      <c r="D52" s="291">
        <v>640</v>
      </c>
      <c r="E52" s="281"/>
      <c r="F52" s="282"/>
      <c r="G52" s="391"/>
      <c r="H52" s="392"/>
      <c r="I52" s="393"/>
      <c r="J52" s="439"/>
      <c r="K52" s="300"/>
      <c r="L52" s="301"/>
      <c r="M52" s="302"/>
    </row>
    <row r="53" spans="1:13" ht="24" customHeight="1" x14ac:dyDescent="0.35">
      <c r="A53" s="283" t="s">
        <v>63</v>
      </c>
      <c r="B53" s="284">
        <v>4.1566969696969691</v>
      </c>
      <c r="C53" s="285">
        <v>4.2217619047619008</v>
      </c>
      <c r="D53" s="292">
        <v>4.2571718749999992</v>
      </c>
      <c r="E53" s="285">
        <v>2</v>
      </c>
      <c r="F53" s="286">
        <v>4.3</v>
      </c>
      <c r="G53" s="394">
        <v>2</v>
      </c>
      <c r="H53" s="400">
        <v>3.8</v>
      </c>
      <c r="I53" s="396">
        <v>4.5</v>
      </c>
      <c r="J53" s="437">
        <f t="shared" ref="J53:J54" si="55">J12*2*400/320*0.4</f>
        <v>1.75</v>
      </c>
      <c r="K53" s="296">
        <f>IF(B52=0,0, IF(B53&lt;=$G53,0,IF(B53&lt;=$H53, 0.8*$J53*(B53-$G53)/($H53-$G53), IF(B53&lt;=$I53, 0.2*$J53*(B53-$H53)/($I53-$H53)+0.8*$J53,$J53) )))</f>
        <v>1.5783484848484848</v>
      </c>
      <c r="L53" s="297">
        <f t="shared" ref="L53" si="56">IF(C52=0,0, IF(C53&lt;=$G53,0,IF(C53&lt;=$H53, 0.8*$J53*(C53-$G53)/($H53-$G53), IF(C53&lt;=$I53, 0.2*$J53*(C53-$H53)/($I53-$H53)+0.8*$J53,$J53) )))</f>
        <v>1.6108809523809506</v>
      </c>
      <c r="M53" s="303">
        <f t="shared" ref="M53" si="57">IF(D52=0,0, IF(D53&lt;=$G53,0,IF(D53&lt;=$H53, 0.8*$J53*(D53-$G53)/($H53-$G53), IF(D53&lt;=$I53, 0.2*$J53*(D53-$H53)/($I53-$H53)+0.8*$J53,$J53) )))</f>
        <v>1.6285859374999998</v>
      </c>
    </row>
    <row r="54" spans="1:13" ht="24" customHeight="1" thickBot="1" x14ac:dyDescent="0.4">
      <c r="A54" s="287" t="s">
        <v>62</v>
      </c>
      <c r="B54" s="293">
        <v>3.3333333333333333E-2</v>
      </c>
      <c r="C54" s="294">
        <v>1.4285714285714285E-2</v>
      </c>
      <c r="D54" s="294">
        <v>4.6874999999999998E-3</v>
      </c>
      <c r="E54" s="294">
        <v>0.1</v>
      </c>
      <c r="F54" s="295">
        <v>0</v>
      </c>
      <c r="G54" s="423">
        <v>0.1</v>
      </c>
      <c r="H54" s="424">
        <v>0.01</v>
      </c>
      <c r="I54" s="425">
        <v>0</v>
      </c>
      <c r="J54" s="438">
        <f t="shared" si="55"/>
        <v>2</v>
      </c>
      <c r="K54" s="304">
        <f>IF(B52=0,0, IF(B54&gt;=$G54,0,IF(B54&gt;=$H54, 0.8*$J54*(B54-$G54)/($H54-$G54), IF(B54&gt;=$I54, 0.2*$J54*(B54-$H54)/($I54-$H54)+0.8*$J54,$J54) )))</f>
        <v>1.1851851851851853</v>
      </c>
      <c r="L54" s="305">
        <f t="shared" ref="L54" si="58">IF(C52=0,0, IF(C54&gt;=$G54,0,IF(C54&gt;=$H54, 0.8*$J54*(C54-$G54)/($H54-$G54), IF(C54&gt;=$I54, 0.2*$J54*(C54-$H54)/($I54-$H54)+0.8*$J54,$J54) )))</f>
        <v>1.5238095238095237</v>
      </c>
      <c r="M54" s="306">
        <f t="shared" ref="M54" si="59">IF(D52=0,0, IF(D54&gt;=$G54,0,IF(D54&gt;=$H54, 0.8*$J54*(D54-$G54)/($H54-$G54), IF(D54&gt;=$I54, 0.2*$J54*(D54-$H54)/($I54-$H54)+0.8*$J54,$J54) )))</f>
        <v>1.8125</v>
      </c>
    </row>
  </sheetData>
  <mergeCells count="49">
    <mergeCell ref="A48:F48"/>
    <mergeCell ref="J48:J49"/>
    <mergeCell ref="K48:K49"/>
    <mergeCell ref="L48:L49"/>
    <mergeCell ref="M48:M49"/>
    <mergeCell ref="N46:N47"/>
    <mergeCell ref="O46:O47"/>
    <mergeCell ref="A38:C38"/>
    <mergeCell ref="B39:F39"/>
    <mergeCell ref="G39:J39"/>
    <mergeCell ref="O41:O42"/>
    <mergeCell ref="K39:O39"/>
    <mergeCell ref="A41:F41"/>
    <mergeCell ref="J41:J42"/>
    <mergeCell ref="K41:K42"/>
    <mergeCell ref="L41:L42"/>
    <mergeCell ref="A28:F28"/>
    <mergeCell ref="N41:N42"/>
    <mergeCell ref="M41:M42"/>
    <mergeCell ref="A7:F7"/>
    <mergeCell ref="G5:J5"/>
    <mergeCell ref="A21:F21"/>
    <mergeCell ref="A14:F14"/>
    <mergeCell ref="B5:F5"/>
    <mergeCell ref="J14:J15"/>
    <mergeCell ref="J21:J22"/>
    <mergeCell ref="J7:J8"/>
    <mergeCell ref="J28:J29"/>
    <mergeCell ref="K5:O5"/>
    <mergeCell ref="O21:O22"/>
    <mergeCell ref="K28:K29"/>
    <mergeCell ref="L28:L29"/>
    <mergeCell ref="M28:M29"/>
    <mergeCell ref="N28:N29"/>
    <mergeCell ref="O28:O29"/>
    <mergeCell ref="O14:O15"/>
    <mergeCell ref="O7:O8"/>
    <mergeCell ref="K7:K8"/>
    <mergeCell ref="L7:L8"/>
    <mergeCell ref="M7:M8"/>
    <mergeCell ref="N7:N8"/>
    <mergeCell ref="K21:K22"/>
    <mergeCell ref="M21:M22"/>
    <mergeCell ref="N21:N22"/>
    <mergeCell ref="K14:K15"/>
    <mergeCell ref="L14:L15"/>
    <mergeCell ref="M14:M15"/>
    <mergeCell ref="N14:N15"/>
    <mergeCell ref="L21:L22"/>
  </mergeCells>
  <dataValidations count="7">
    <dataValidation type="list" allowBlank="1" showInputMessage="1" showErrorMessage="1" sqref="I14" xr:uid="{00000000-0002-0000-0200-000000000000}">
      <formula1>lists28</formula1>
    </dataValidation>
    <dataValidation type="list" allowBlank="1" showInputMessage="1" showErrorMessage="1" sqref="G14:H14" xr:uid="{00000000-0002-0000-0200-000001000000}">
      <formula1>lists27</formula1>
    </dataValidation>
    <dataValidation type="list" allowBlank="1" showInputMessage="1" showErrorMessage="1" sqref="F14" xr:uid="{00000000-0002-0000-0200-000002000000}">
      <formula1>lists26</formula1>
    </dataValidation>
    <dataValidation type="list" allowBlank="1" showInputMessage="1" showErrorMessage="1" sqref="E14" xr:uid="{00000000-0002-0000-0200-000003000000}">
      <formula1>lists25</formula1>
    </dataValidation>
    <dataValidation type="list" allowBlank="1" showInputMessage="1" showErrorMessage="1" sqref="D14" xr:uid="{00000000-0002-0000-0200-000004000000}">
      <formula1>lists24</formula1>
    </dataValidation>
    <dataValidation type="list" allowBlank="1" showInputMessage="1" showErrorMessage="1" sqref="C14" xr:uid="{00000000-0002-0000-0200-000005000000}">
      <formula1>lists23</formula1>
    </dataValidation>
    <dataValidation type="list" allowBlank="1" showInputMessage="1" showErrorMessage="1" sqref="B14" xr:uid="{00000000-0002-0000-0200-000006000000}">
      <formula1>lists22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Ranking">
                <anchor moveWithCells="1" sizeWithCells="1">
                  <from>
                    <xdr:col>1</xdr:col>
                    <xdr:colOff>371475</xdr:colOff>
                    <xdr:row>0</xdr:row>
                    <xdr:rowOff>57150</xdr:rowOff>
                  </from>
                  <to>
                    <xdr:col>4</xdr:col>
                    <xdr:colOff>1057275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Ranking">
                <anchor moveWithCells="1" sizeWithCells="1">
                  <from>
                    <xdr:col>5</xdr:col>
                    <xdr:colOff>9525</xdr:colOff>
                    <xdr:row>0</xdr:row>
                    <xdr:rowOff>57150</xdr:rowOff>
                  </from>
                  <to>
                    <xdr:col>9</xdr:col>
                    <xdr:colOff>200025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City">
                <anchor moveWithCells="1" sizeWithCells="1">
                  <from>
                    <xdr:col>2</xdr:col>
                    <xdr:colOff>638175</xdr:colOff>
                    <xdr:row>34</xdr:row>
                    <xdr:rowOff>66675</xdr:rowOff>
                  </from>
                  <to>
                    <xdr:col>8</xdr:col>
                    <xdr:colOff>1114425</xdr:colOff>
                    <xdr:row>36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ityRanking">
                <anchor moveWithCells="1" sizeWithCells="1">
                  <from>
                    <xdr:col>0</xdr:col>
                    <xdr:colOff>85725</xdr:colOff>
                    <xdr:row>34</xdr:row>
                    <xdr:rowOff>66675</xdr:rowOff>
                  </from>
                  <to>
                    <xdr:col>2</xdr:col>
                    <xdr:colOff>542925</xdr:colOff>
                    <xdr:row>36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HN2"/>
  <sheetViews>
    <sheetView zoomScaleNormal="100" workbookViewId="0">
      <selection activeCell="B25" sqref="B25"/>
    </sheetView>
  </sheetViews>
  <sheetFormatPr baseColWidth="10" defaultColWidth="11.42578125" defaultRowHeight="15" x14ac:dyDescent="0.25"/>
  <cols>
    <col min="1" max="1" width="29.42578125" style="45" customWidth="1"/>
    <col min="2" max="3" width="46.5703125" style="45" customWidth="1"/>
    <col min="4" max="5" width="10.7109375" style="45" customWidth="1"/>
    <col min="6" max="7" width="14.85546875" style="92" customWidth="1"/>
    <col min="8" max="8" width="22.28515625" style="45" bestFit="1" customWidth="1"/>
    <col min="9" max="9" width="12.7109375" style="45" bestFit="1" customWidth="1"/>
    <col min="10" max="10" width="27.140625" style="45" bestFit="1" customWidth="1"/>
    <col min="11" max="11" width="22.140625" style="45" bestFit="1" customWidth="1"/>
    <col min="12" max="12" width="32" style="45" customWidth="1"/>
    <col min="13" max="13" width="23.42578125" style="175" bestFit="1" customWidth="1"/>
    <col min="14" max="14" width="11.42578125" style="45" customWidth="1"/>
    <col min="15" max="15" width="22.7109375" style="45" customWidth="1"/>
    <col min="16" max="16" width="32" style="45" customWidth="1"/>
    <col min="17" max="17" width="23.28515625" style="175" bestFit="1" customWidth="1"/>
    <col min="18" max="18" width="11.42578125" style="45" customWidth="1"/>
    <col min="19" max="19" width="22.7109375" style="45" customWidth="1"/>
    <col min="20" max="20" width="17.140625" style="45" customWidth="1"/>
    <col min="21" max="21" width="15.140625" style="45" customWidth="1"/>
    <col min="22" max="22" width="15.7109375" style="45" customWidth="1"/>
    <col min="23" max="23" width="18.140625" style="45" customWidth="1"/>
    <col min="24" max="27" width="17.140625" style="45" customWidth="1"/>
    <col min="28" max="32" width="11.5703125" style="45" customWidth="1"/>
    <col min="33" max="33" width="15.5703125" style="45" customWidth="1"/>
    <col min="34" max="34" width="21.28515625" customWidth="1"/>
    <col min="35" max="35" width="34.140625" customWidth="1"/>
    <col min="36" max="36" width="40" customWidth="1"/>
    <col min="37" max="37" width="38.7109375" customWidth="1"/>
    <col min="38" max="41" width="22.28515625" style="45" customWidth="1"/>
    <col min="42" max="42" width="26.5703125" customWidth="1"/>
    <col min="43" max="43" width="55.28515625" style="1" customWidth="1"/>
    <col min="44" max="44" width="26" style="92" customWidth="1"/>
    <col min="45" max="45" width="23.7109375" customWidth="1"/>
    <col min="46" max="46" width="24.140625" style="45" customWidth="1"/>
    <col min="47" max="47" width="26.5703125" customWidth="1"/>
    <col min="48" max="48" width="55.28515625" style="1" customWidth="1"/>
    <col min="49" max="49" width="26" style="45" customWidth="1"/>
    <col min="50" max="50" width="23.7109375" customWidth="1"/>
    <col min="51" max="51" width="24.140625" style="45" customWidth="1"/>
    <col min="52" max="52" width="13.5703125" style="92" customWidth="1"/>
    <col min="53" max="53" width="13.7109375" style="45" customWidth="1"/>
    <col min="54" max="54" width="16.7109375" customWidth="1"/>
    <col min="55" max="56" width="23.5703125" customWidth="1"/>
    <col min="57" max="59" width="25.7109375" style="97" customWidth="1"/>
    <col min="60" max="60" width="39.140625" customWidth="1"/>
    <col min="61" max="61" width="14.5703125" style="97" customWidth="1"/>
    <col min="62" max="63" width="15.28515625" customWidth="1"/>
    <col min="64" max="64" width="15.42578125" customWidth="1"/>
    <col min="65" max="65" width="14.5703125" customWidth="1"/>
    <col min="66" max="66" width="16.85546875" customWidth="1"/>
    <col min="67" max="67" width="14.85546875" customWidth="1"/>
    <col min="68" max="71" width="16.28515625" style="45" customWidth="1"/>
    <col min="72" max="74" width="12.28515625" style="89" customWidth="1"/>
    <col min="75" max="75" width="16.7109375" style="89" customWidth="1"/>
    <col min="76" max="77" width="15" style="45" customWidth="1"/>
    <col min="78" max="79" width="17.5703125" style="45" customWidth="1"/>
    <col min="80" max="80" width="16.7109375" style="92" customWidth="1"/>
    <col min="81" max="82" width="14.85546875" style="92" customWidth="1"/>
    <col min="83" max="83" width="13.42578125" style="92" customWidth="1"/>
    <col min="84" max="84" width="22" style="96" customWidth="1"/>
    <col min="85" max="85" width="47.28515625" style="96" customWidth="1"/>
    <col min="86" max="86" width="19.140625" style="94" customWidth="1"/>
    <col min="87" max="87" width="47.28515625" style="95" customWidth="1"/>
    <col min="88" max="88" width="24.42578125" style="94" customWidth="1"/>
    <col min="89" max="89" width="24.42578125" style="93" customWidth="1"/>
    <col min="90" max="90" width="24.42578125" style="45" customWidth="1"/>
    <col min="91" max="91" width="23.7109375" style="45" bestFit="1" customWidth="1"/>
    <col min="92" max="93" width="24.7109375" style="45" bestFit="1" customWidth="1"/>
    <col min="94" max="94" width="23.7109375" style="45" bestFit="1" customWidth="1"/>
    <col min="95" max="96" width="23.7109375" style="92" bestFit="1" customWidth="1"/>
    <col min="97" max="97" width="24.7109375" style="45" bestFit="1" customWidth="1"/>
    <col min="98" max="99" width="24.7109375" style="92" bestFit="1" customWidth="1"/>
    <col min="100" max="100" width="24.28515625" style="45" bestFit="1" customWidth="1"/>
    <col min="101" max="101" width="25.28515625" style="45" bestFit="1" customWidth="1"/>
    <col min="102" max="102" width="26.42578125" style="91" bestFit="1" customWidth="1"/>
    <col min="103" max="108" width="26.42578125" style="45" bestFit="1" customWidth="1"/>
    <col min="109" max="110" width="19" style="45" bestFit="1" customWidth="1"/>
    <col min="111" max="111" width="17.42578125" style="45" bestFit="1" customWidth="1"/>
    <col min="112" max="112" width="19" style="45" bestFit="1" customWidth="1"/>
    <col min="113" max="115" width="20" style="45" bestFit="1" customWidth="1"/>
    <col min="116" max="119" width="18.42578125" style="45" bestFit="1" customWidth="1"/>
    <col min="120" max="120" width="19.42578125" style="45" bestFit="1" customWidth="1"/>
    <col min="121" max="121" width="17.28515625" style="89" bestFit="1" customWidth="1"/>
    <col min="122" max="122" width="17" style="89" bestFit="1" customWidth="1"/>
    <col min="123" max="123" width="17.5703125" style="89" bestFit="1" customWidth="1"/>
    <col min="124" max="124" width="18.42578125" style="89" bestFit="1" customWidth="1"/>
    <col min="125" max="125" width="18.140625" style="89" bestFit="1" customWidth="1"/>
    <col min="126" max="126" width="18.7109375" style="89" bestFit="1" customWidth="1"/>
    <col min="127" max="127" width="16.5703125" style="89" bestFit="1" customWidth="1"/>
    <col min="128" max="128" width="16.28515625" style="89" bestFit="1" customWidth="1"/>
    <col min="129" max="129" width="16.85546875" style="89" bestFit="1" customWidth="1"/>
    <col min="130" max="130" width="15.5703125" style="89" bestFit="1" customWidth="1"/>
    <col min="131" max="131" width="15.28515625" style="89" bestFit="1" customWidth="1"/>
    <col min="132" max="132" width="15.85546875" style="89" bestFit="1" customWidth="1"/>
    <col min="133" max="133" width="20" style="89" bestFit="1" customWidth="1"/>
    <col min="134" max="134" width="19.7109375" style="89" bestFit="1" customWidth="1"/>
    <col min="135" max="135" width="20.28515625" style="89" bestFit="1" customWidth="1"/>
    <col min="136" max="136" width="16.5703125" style="89" bestFit="1" customWidth="1"/>
    <col min="137" max="137" width="16.28515625" style="89" bestFit="1" customWidth="1"/>
    <col min="138" max="139" width="16.85546875" style="89" bestFit="1" customWidth="1"/>
    <col min="140" max="140" width="16.5703125" style="89" bestFit="1" customWidth="1"/>
    <col min="141" max="141" width="17.140625" style="89" bestFit="1" customWidth="1"/>
    <col min="142" max="142" width="16.28515625" style="89" bestFit="1" customWidth="1"/>
    <col min="143" max="143" width="15.85546875" style="89" bestFit="1" customWidth="1"/>
    <col min="144" max="144" width="16.5703125" style="89" bestFit="1" customWidth="1"/>
    <col min="145" max="145" width="20" style="89" bestFit="1" customWidth="1"/>
    <col min="146" max="146" width="19.7109375" style="90" bestFit="1" customWidth="1"/>
    <col min="147" max="147" width="20.28515625" style="89" bestFit="1" customWidth="1"/>
    <col min="148" max="148" width="61.85546875" customWidth="1"/>
    <col min="149" max="149" width="19" style="45" bestFit="1" customWidth="1"/>
    <col min="150" max="151" width="21.28515625" style="45" customWidth="1"/>
    <col min="152" max="152" width="24.42578125" customWidth="1"/>
    <col min="153" max="153" width="57.140625" customWidth="1"/>
    <col min="154" max="154" width="20.42578125" customWidth="1"/>
    <col min="155" max="155" width="57.140625" customWidth="1"/>
    <col min="156" max="156" width="22.5703125" style="45" bestFit="1" customWidth="1"/>
    <col min="157" max="157" width="23.140625" style="45" bestFit="1" customWidth="1"/>
    <col min="158" max="158" width="17.85546875" style="45" bestFit="1" customWidth="1"/>
    <col min="159" max="159" width="26.140625" style="45" bestFit="1" customWidth="1"/>
    <col min="160" max="161" width="27.28515625" style="45" bestFit="1" customWidth="1"/>
    <col min="162" max="164" width="26.140625" style="45" bestFit="1" customWidth="1"/>
    <col min="165" max="167" width="27.28515625" style="45" bestFit="1" customWidth="1"/>
    <col min="168" max="168" width="26.85546875" style="45" bestFit="1" customWidth="1"/>
    <col min="169" max="169" width="27.85546875" style="45" bestFit="1" customWidth="1"/>
    <col min="170" max="176" width="28.85546875" style="45" bestFit="1" customWidth="1"/>
    <col min="177" max="178" width="21.5703125" style="45" bestFit="1" customWidth="1"/>
    <col min="179" max="179" width="19.85546875" style="45" bestFit="1" customWidth="1"/>
    <col min="180" max="180" width="21.5703125" style="45" bestFit="1" customWidth="1"/>
    <col min="181" max="183" width="22.5703125" style="45" bestFit="1" customWidth="1"/>
    <col min="184" max="187" width="20.85546875" style="45" bestFit="1" customWidth="1"/>
    <col min="188" max="188" width="22" style="45" bestFit="1" customWidth="1"/>
    <col min="189" max="189" width="19.7109375" style="89" bestFit="1" customWidth="1"/>
    <col min="190" max="190" width="19.42578125" style="89" bestFit="1" customWidth="1"/>
    <col min="191" max="191" width="20" style="89" bestFit="1" customWidth="1"/>
    <col min="192" max="192" width="20.85546875" style="89" bestFit="1" customWidth="1"/>
    <col min="193" max="193" width="20.5703125" style="89" customWidth="1"/>
    <col min="194" max="194" width="21.28515625" style="89" bestFit="1" customWidth="1"/>
    <col min="195" max="195" width="19" style="89" bestFit="1" customWidth="1"/>
    <col min="196" max="196" width="18.7109375" style="89" bestFit="1" customWidth="1"/>
    <col min="197" max="197" width="19.28515625" style="89" bestFit="1" customWidth="1"/>
    <col min="198" max="198" width="18.140625" style="89" bestFit="1" customWidth="1"/>
    <col min="199" max="199" width="17.85546875" style="89" bestFit="1" customWidth="1"/>
    <col min="200" max="200" width="18.42578125" style="89" bestFit="1" customWidth="1"/>
    <col min="201" max="201" width="22.5703125" style="89" bestFit="1" customWidth="1"/>
    <col min="202" max="202" width="22.28515625" style="89" bestFit="1" customWidth="1"/>
    <col min="203" max="203" width="22.85546875" style="89" bestFit="1" customWidth="1"/>
    <col min="204" max="204" width="19" style="89" bestFit="1" customWidth="1"/>
    <col min="205" max="205" width="18.7109375" style="89" bestFit="1" customWidth="1"/>
    <col min="206" max="207" width="19.28515625" style="89" bestFit="1" customWidth="1"/>
    <col min="208" max="208" width="19" style="89" bestFit="1" customWidth="1"/>
    <col min="209" max="209" width="19.5703125" style="89" bestFit="1" customWidth="1"/>
    <col min="210" max="210" width="18.7109375" style="89" bestFit="1" customWidth="1"/>
    <col min="211" max="211" width="18.42578125" style="89" bestFit="1" customWidth="1"/>
    <col min="212" max="212" width="19" style="89" bestFit="1" customWidth="1"/>
    <col min="213" max="213" width="22.5703125" style="89" bestFit="1" customWidth="1"/>
    <col min="214" max="214" width="22.28515625" style="89" bestFit="1" customWidth="1"/>
    <col min="215" max="215" width="22.85546875" style="89" bestFit="1" customWidth="1"/>
    <col min="216" max="216" width="76.140625" style="89" customWidth="1"/>
    <col min="217" max="217" width="21.5703125" style="89" bestFit="1" customWidth="1"/>
    <col min="218" max="218" width="19.85546875" style="45" bestFit="1" customWidth="1"/>
    <col min="219" max="219" width="18.28515625" style="45" bestFit="1" customWidth="1"/>
    <col min="220" max="221" width="25.5703125" style="45" customWidth="1"/>
    <col min="222" max="222" width="23" customWidth="1"/>
  </cols>
  <sheetData>
    <row r="1" spans="1:222" s="109" customFormat="1" x14ac:dyDescent="0.25">
      <c r="A1" s="110" t="s">
        <v>297</v>
      </c>
      <c r="B1" s="110" t="s">
        <v>296</v>
      </c>
      <c r="C1" s="110" t="s">
        <v>295</v>
      </c>
      <c r="D1" s="110" t="s">
        <v>294</v>
      </c>
      <c r="E1" s="110" t="s">
        <v>293</v>
      </c>
      <c r="F1" s="170" t="s">
        <v>292</v>
      </c>
      <c r="G1" s="170" t="s">
        <v>291</v>
      </c>
      <c r="H1" s="110" t="s">
        <v>290</v>
      </c>
      <c r="I1" s="110" t="s">
        <v>289</v>
      </c>
      <c r="J1" s="110" t="s">
        <v>288</v>
      </c>
      <c r="K1" s="110" t="s">
        <v>287</v>
      </c>
      <c r="L1" s="110" t="s">
        <v>286</v>
      </c>
      <c r="M1" s="173" t="s">
        <v>285</v>
      </c>
      <c r="N1" s="110" t="s">
        <v>284</v>
      </c>
      <c r="O1" s="110" t="s">
        <v>283</v>
      </c>
      <c r="P1" s="110" t="s">
        <v>282</v>
      </c>
      <c r="Q1" s="173" t="s">
        <v>281</v>
      </c>
      <c r="R1" s="110" t="s">
        <v>280</v>
      </c>
      <c r="S1" s="110" t="s">
        <v>279</v>
      </c>
      <c r="T1" s="110" t="s">
        <v>278</v>
      </c>
      <c r="U1" s="110" t="s">
        <v>277</v>
      </c>
      <c r="V1" s="110" t="s">
        <v>276</v>
      </c>
      <c r="W1" s="110" t="s">
        <v>275</v>
      </c>
      <c r="X1" s="110" t="s">
        <v>274</v>
      </c>
      <c r="Y1" s="110" t="s">
        <v>273</v>
      </c>
      <c r="Z1" s="110" t="s">
        <v>272</v>
      </c>
      <c r="AA1" s="110" t="s">
        <v>271</v>
      </c>
      <c r="AB1" s="110" t="s">
        <v>270</v>
      </c>
      <c r="AC1" s="110" t="s">
        <v>269</v>
      </c>
      <c r="AD1" s="110" t="s">
        <v>268</v>
      </c>
      <c r="AE1" s="110" t="s">
        <v>267</v>
      </c>
      <c r="AF1" s="110" t="s">
        <v>266</v>
      </c>
      <c r="AG1" s="110" t="s">
        <v>265</v>
      </c>
      <c r="AH1" s="109" t="s">
        <v>264</v>
      </c>
      <c r="AI1" s="109" t="s">
        <v>263</v>
      </c>
      <c r="AJ1" s="109" t="s">
        <v>262</v>
      </c>
      <c r="AK1" s="109" t="s">
        <v>261</v>
      </c>
      <c r="AL1" s="110" t="s">
        <v>260</v>
      </c>
      <c r="AM1" s="110" t="s">
        <v>259</v>
      </c>
      <c r="AN1" s="110" t="s">
        <v>258</v>
      </c>
      <c r="AO1" s="110" t="s">
        <v>257</v>
      </c>
      <c r="AP1" s="109" t="s">
        <v>256</v>
      </c>
      <c r="AQ1" s="113" t="s">
        <v>255</v>
      </c>
      <c r="AR1" s="110" t="s">
        <v>254</v>
      </c>
      <c r="AS1" s="110" t="s">
        <v>253</v>
      </c>
      <c r="AT1" s="110" t="s">
        <v>252</v>
      </c>
      <c r="AU1" s="109" t="s">
        <v>251</v>
      </c>
      <c r="AV1" s="113" t="s">
        <v>250</v>
      </c>
      <c r="AW1" s="110" t="s">
        <v>249</v>
      </c>
      <c r="AX1" s="109" t="s">
        <v>248</v>
      </c>
      <c r="AY1" s="110" t="s">
        <v>247</v>
      </c>
      <c r="AZ1" s="110" t="s">
        <v>246</v>
      </c>
      <c r="BA1" s="110" t="s">
        <v>245</v>
      </c>
      <c r="BB1" s="109" t="s">
        <v>244</v>
      </c>
      <c r="BC1" s="109" t="s">
        <v>243</v>
      </c>
      <c r="BD1" s="109" t="s">
        <v>242</v>
      </c>
      <c r="BE1" s="112" t="s">
        <v>241</v>
      </c>
      <c r="BF1" s="112" t="s">
        <v>240</v>
      </c>
      <c r="BG1" s="112" t="s">
        <v>239</v>
      </c>
      <c r="BH1" s="109" t="s">
        <v>238</v>
      </c>
      <c r="BI1" s="112" t="s">
        <v>237</v>
      </c>
      <c r="BJ1" s="109" t="s">
        <v>236</v>
      </c>
      <c r="BK1" s="109" t="s">
        <v>235</v>
      </c>
      <c r="BL1" s="109" t="s">
        <v>234</v>
      </c>
      <c r="BM1" s="109" t="s">
        <v>233</v>
      </c>
      <c r="BN1" s="109" t="s">
        <v>232</v>
      </c>
      <c r="BO1" s="109" t="s">
        <v>231</v>
      </c>
      <c r="BP1" s="110" t="s">
        <v>230</v>
      </c>
      <c r="BQ1" s="110" t="s">
        <v>229</v>
      </c>
      <c r="BR1" s="110" t="s">
        <v>228</v>
      </c>
      <c r="BS1" s="110" t="s">
        <v>227</v>
      </c>
      <c r="BT1" s="110" t="s">
        <v>226</v>
      </c>
      <c r="BU1" s="110" t="s">
        <v>225</v>
      </c>
      <c r="BV1" s="110" t="s">
        <v>224</v>
      </c>
      <c r="BW1" s="110" t="s">
        <v>223</v>
      </c>
      <c r="BX1" s="110" t="s">
        <v>222</v>
      </c>
      <c r="BY1" s="110" t="s">
        <v>221</v>
      </c>
      <c r="BZ1" s="110" t="s">
        <v>220</v>
      </c>
      <c r="CA1" s="110" t="s">
        <v>219</v>
      </c>
      <c r="CB1" s="110" t="s">
        <v>218</v>
      </c>
      <c r="CC1" s="110" t="s">
        <v>217</v>
      </c>
      <c r="CD1" s="110" t="s">
        <v>216</v>
      </c>
      <c r="CE1" s="110" t="s">
        <v>215</v>
      </c>
      <c r="CF1" s="109" t="s">
        <v>214</v>
      </c>
      <c r="CG1" s="109" t="s">
        <v>213</v>
      </c>
      <c r="CH1" s="110" t="s">
        <v>212</v>
      </c>
      <c r="CI1" s="109" t="s">
        <v>211</v>
      </c>
      <c r="CJ1" s="110" t="s">
        <v>210</v>
      </c>
      <c r="CK1" s="110" t="s">
        <v>209</v>
      </c>
      <c r="CL1" s="110" t="s">
        <v>208</v>
      </c>
      <c r="CM1" s="110" t="s">
        <v>207</v>
      </c>
      <c r="CN1" s="110" t="s">
        <v>206</v>
      </c>
      <c r="CO1" s="110" t="s">
        <v>205</v>
      </c>
      <c r="CP1" s="110" t="s">
        <v>204</v>
      </c>
      <c r="CQ1" s="110" t="s">
        <v>203</v>
      </c>
      <c r="CR1" s="110" t="s">
        <v>202</v>
      </c>
      <c r="CS1" s="110" t="s">
        <v>201</v>
      </c>
      <c r="CT1" s="110" t="s">
        <v>200</v>
      </c>
      <c r="CU1" s="110" t="s">
        <v>199</v>
      </c>
      <c r="CV1" s="110" t="s">
        <v>198</v>
      </c>
      <c r="CW1" s="110" t="s">
        <v>197</v>
      </c>
      <c r="CX1" s="110" t="s">
        <v>196</v>
      </c>
      <c r="CY1" s="110" t="s">
        <v>195</v>
      </c>
      <c r="CZ1" s="110" t="s">
        <v>194</v>
      </c>
      <c r="DA1" s="110" t="s">
        <v>193</v>
      </c>
      <c r="DB1" s="110" t="s">
        <v>192</v>
      </c>
      <c r="DC1" s="110" t="s">
        <v>191</v>
      </c>
      <c r="DD1" s="110" t="s">
        <v>190</v>
      </c>
      <c r="DE1" s="110" t="s">
        <v>189</v>
      </c>
      <c r="DF1" s="110" t="s">
        <v>188</v>
      </c>
      <c r="DG1" s="110" t="s">
        <v>187</v>
      </c>
      <c r="DH1" s="110" t="s">
        <v>186</v>
      </c>
      <c r="DI1" s="110" t="s">
        <v>185</v>
      </c>
      <c r="DJ1" s="110" t="s">
        <v>184</v>
      </c>
      <c r="DK1" s="110" t="s">
        <v>183</v>
      </c>
      <c r="DL1" s="110" t="s">
        <v>182</v>
      </c>
      <c r="DM1" s="110" t="s">
        <v>181</v>
      </c>
      <c r="DN1" s="110" t="s">
        <v>180</v>
      </c>
      <c r="DO1" s="110" t="s">
        <v>179</v>
      </c>
      <c r="DP1" s="110" t="s">
        <v>178</v>
      </c>
      <c r="DQ1" s="111" t="s">
        <v>177</v>
      </c>
      <c r="DR1" s="111" t="s">
        <v>176</v>
      </c>
      <c r="DS1" s="111" t="s">
        <v>175</v>
      </c>
      <c r="DT1" s="111" t="s">
        <v>174</v>
      </c>
      <c r="DU1" s="111" t="s">
        <v>173</v>
      </c>
      <c r="DV1" s="111" t="s">
        <v>172</v>
      </c>
      <c r="DW1" s="111" t="s">
        <v>171</v>
      </c>
      <c r="DX1" s="111" t="s">
        <v>170</v>
      </c>
      <c r="DY1" s="111" t="s">
        <v>169</v>
      </c>
      <c r="DZ1" s="111" t="s">
        <v>168</v>
      </c>
      <c r="EA1" s="111" t="s">
        <v>167</v>
      </c>
      <c r="EB1" s="111" t="s">
        <v>166</v>
      </c>
      <c r="EC1" s="111" t="s">
        <v>165</v>
      </c>
      <c r="ED1" s="111" t="s">
        <v>164</v>
      </c>
      <c r="EE1" s="111" t="s">
        <v>163</v>
      </c>
      <c r="EF1" s="111" t="s">
        <v>162</v>
      </c>
      <c r="EG1" s="111" t="s">
        <v>161</v>
      </c>
      <c r="EH1" s="111" t="s">
        <v>160</v>
      </c>
      <c r="EI1" s="111" t="s">
        <v>159</v>
      </c>
      <c r="EJ1" s="111" t="s">
        <v>158</v>
      </c>
      <c r="EK1" s="111" t="s">
        <v>157</v>
      </c>
      <c r="EL1" s="111" t="s">
        <v>156</v>
      </c>
      <c r="EM1" s="111" t="s">
        <v>155</v>
      </c>
      <c r="EN1" s="111" t="s">
        <v>154</v>
      </c>
      <c r="EO1" s="111" t="s">
        <v>153</v>
      </c>
      <c r="EP1" s="111" t="s">
        <v>152</v>
      </c>
      <c r="EQ1" s="111" t="s">
        <v>151</v>
      </c>
      <c r="ER1" s="109" t="s">
        <v>150</v>
      </c>
      <c r="ES1" s="110" t="s">
        <v>149</v>
      </c>
      <c r="ET1" s="110" t="s">
        <v>148</v>
      </c>
      <c r="EU1" s="110" t="s">
        <v>147</v>
      </c>
      <c r="EV1" s="109" t="s">
        <v>146</v>
      </c>
      <c r="EW1" s="109" t="s">
        <v>145</v>
      </c>
      <c r="EX1" s="109" t="s">
        <v>144</v>
      </c>
      <c r="EY1" s="109" t="s">
        <v>143</v>
      </c>
      <c r="EZ1" s="110" t="s">
        <v>142</v>
      </c>
      <c r="FA1" s="110" t="s">
        <v>141</v>
      </c>
      <c r="FB1" s="110" t="s">
        <v>140</v>
      </c>
      <c r="FC1" s="110" t="s">
        <v>139</v>
      </c>
      <c r="FD1" s="110" t="s">
        <v>138</v>
      </c>
      <c r="FE1" s="110" t="s">
        <v>137</v>
      </c>
      <c r="FF1" s="110" t="s">
        <v>136</v>
      </c>
      <c r="FG1" s="110" t="s">
        <v>135</v>
      </c>
      <c r="FH1" s="110" t="s">
        <v>134</v>
      </c>
      <c r="FI1" s="110" t="s">
        <v>133</v>
      </c>
      <c r="FJ1" s="110" t="s">
        <v>132</v>
      </c>
      <c r="FK1" s="110" t="s">
        <v>131</v>
      </c>
      <c r="FL1" s="110" t="s">
        <v>130</v>
      </c>
      <c r="FM1" s="110" t="s">
        <v>129</v>
      </c>
      <c r="FN1" s="110" t="s">
        <v>128</v>
      </c>
      <c r="FO1" s="110" t="s">
        <v>127</v>
      </c>
      <c r="FP1" s="110" t="s">
        <v>126</v>
      </c>
      <c r="FQ1" s="110" t="s">
        <v>125</v>
      </c>
      <c r="FR1" s="110" t="s">
        <v>124</v>
      </c>
      <c r="FS1" s="110" t="s">
        <v>123</v>
      </c>
      <c r="FT1" s="110" t="s">
        <v>122</v>
      </c>
      <c r="FU1" s="110" t="s">
        <v>121</v>
      </c>
      <c r="FV1" s="110" t="s">
        <v>120</v>
      </c>
      <c r="FW1" s="110" t="s">
        <v>119</v>
      </c>
      <c r="FX1" s="110" t="s">
        <v>118</v>
      </c>
      <c r="FY1" s="110" t="s">
        <v>117</v>
      </c>
      <c r="FZ1" s="110" t="s">
        <v>116</v>
      </c>
      <c r="GA1" s="110" t="s">
        <v>115</v>
      </c>
      <c r="GB1" s="110" t="s">
        <v>114</v>
      </c>
      <c r="GC1" s="110" t="s">
        <v>113</v>
      </c>
      <c r="GD1" s="110" t="s">
        <v>112</v>
      </c>
      <c r="GE1" s="110" t="s">
        <v>111</v>
      </c>
      <c r="GF1" s="110" t="s">
        <v>110</v>
      </c>
      <c r="GG1" s="111" t="s">
        <v>109</v>
      </c>
      <c r="GH1" s="111" t="s">
        <v>108</v>
      </c>
      <c r="GI1" s="111" t="s">
        <v>107</v>
      </c>
      <c r="GJ1" s="111" t="s">
        <v>106</v>
      </c>
      <c r="GK1" s="111" t="s">
        <v>105</v>
      </c>
      <c r="GL1" s="111" t="s">
        <v>104</v>
      </c>
      <c r="GM1" s="111" t="s">
        <v>103</v>
      </c>
      <c r="GN1" s="111" t="s">
        <v>102</v>
      </c>
      <c r="GO1" s="111" t="s">
        <v>101</v>
      </c>
      <c r="GP1" s="111" t="s">
        <v>100</v>
      </c>
      <c r="GQ1" s="111" t="s">
        <v>99</v>
      </c>
      <c r="GR1" s="111" t="s">
        <v>98</v>
      </c>
      <c r="GS1" s="111" t="s">
        <v>97</v>
      </c>
      <c r="GT1" s="111" t="s">
        <v>96</v>
      </c>
      <c r="GU1" s="111" t="s">
        <v>95</v>
      </c>
      <c r="GV1" s="111" t="s">
        <v>94</v>
      </c>
      <c r="GW1" s="111" t="s">
        <v>93</v>
      </c>
      <c r="GX1" s="111" t="s">
        <v>92</v>
      </c>
      <c r="GY1" s="111" t="s">
        <v>91</v>
      </c>
      <c r="GZ1" s="111" t="s">
        <v>90</v>
      </c>
      <c r="HA1" s="111" t="s">
        <v>89</v>
      </c>
      <c r="HB1" s="111" t="s">
        <v>88</v>
      </c>
      <c r="HC1" s="111" t="s">
        <v>87</v>
      </c>
      <c r="HD1" s="111" t="s">
        <v>86</v>
      </c>
      <c r="HE1" s="111" t="s">
        <v>85</v>
      </c>
      <c r="HF1" s="111" t="s">
        <v>84</v>
      </c>
      <c r="HG1" s="111" t="s">
        <v>83</v>
      </c>
      <c r="HH1" s="111" t="s">
        <v>82</v>
      </c>
      <c r="HI1" s="111" t="s">
        <v>81</v>
      </c>
      <c r="HJ1" s="110" t="s">
        <v>80</v>
      </c>
      <c r="HK1" s="110" t="s">
        <v>79</v>
      </c>
      <c r="HL1" s="110" t="s">
        <v>78</v>
      </c>
      <c r="HM1" s="110" t="s">
        <v>77</v>
      </c>
      <c r="HN1" s="110"/>
    </row>
    <row r="2" spans="1:222" s="98" customFormat="1" x14ac:dyDescent="0.25">
      <c r="A2" s="97"/>
      <c r="B2" s="97"/>
      <c r="C2" s="97"/>
      <c r="D2" s="97"/>
      <c r="E2" s="97"/>
      <c r="F2" s="103"/>
      <c r="G2" s="103"/>
      <c r="H2" s="97"/>
      <c r="I2" s="97"/>
      <c r="J2" s="108"/>
      <c r="K2" s="108"/>
      <c r="L2" s="97"/>
      <c r="M2" s="174"/>
      <c r="N2" s="97"/>
      <c r="O2" s="97"/>
      <c r="P2" s="97"/>
      <c r="Q2" s="174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L2" s="97"/>
      <c r="AM2" s="97"/>
      <c r="AN2" s="97"/>
      <c r="AO2" s="97"/>
      <c r="AQ2" s="101"/>
      <c r="AR2" s="103"/>
      <c r="AS2" s="103"/>
      <c r="AT2" s="103"/>
      <c r="AV2" s="101"/>
      <c r="AW2" s="103"/>
      <c r="AX2" s="103"/>
      <c r="AY2" s="103"/>
      <c r="AZ2" s="103"/>
      <c r="BA2" s="97"/>
      <c r="BB2" s="99"/>
      <c r="BC2" s="108"/>
      <c r="BD2" s="108"/>
      <c r="BE2" s="97"/>
      <c r="BF2" s="97"/>
      <c r="BG2" s="97"/>
      <c r="BH2" s="101"/>
      <c r="BI2" s="97"/>
      <c r="BJ2" s="97"/>
      <c r="BK2" s="97"/>
      <c r="BL2" s="97"/>
      <c r="BM2" s="97"/>
      <c r="BN2" s="97"/>
      <c r="BP2" s="97"/>
      <c r="BQ2" s="97"/>
      <c r="BR2" s="97"/>
      <c r="BS2" s="97"/>
      <c r="BT2" s="99"/>
      <c r="BU2" s="99"/>
      <c r="BV2" s="99"/>
      <c r="BW2" s="99"/>
      <c r="BX2" s="97"/>
      <c r="BY2" s="97"/>
      <c r="BZ2" s="97"/>
      <c r="CA2" s="97"/>
      <c r="CB2" s="103"/>
      <c r="CC2" s="103"/>
      <c r="CD2" s="103"/>
      <c r="CE2" s="103"/>
      <c r="CF2" s="107"/>
      <c r="CG2" s="107"/>
      <c r="CH2" s="105"/>
      <c r="CI2" s="106"/>
      <c r="CJ2" s="105"/>
      <c r="CK2" s="104"/>
      <c r="CL2" s="97"/>
      <c r="CM2" s="97"/>
      <c r="CN2" s="97"/>
      <c r="CO2" s="97"/>
      <c r="CP2" s="97"/>
      <c r="CQ2" s="103"/>
      <c r="CR2" s="103"/>
      <c r="CS2" s="97"/>
      <c r="CT2" s="103"/>
      <c r="CU2" s="103"/>
      <c r="CV2" s="97"/>
      <c r="CW2" s="97"/>
      <c r="CX2" s="102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100"/>
      <c r="EQ2" s="99"/>
      <c r="ER2" s="101"/>
      <c r="ES2" s="97"/>
      <c r="ET2" s="97"/>
      <c r="EU2" s="97"/>
      <c r="EW2" s="101"/>
      <c r="EY2" s="101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100"/>
      <c r="HI2" s="99"/>
      <c r="HJ2" s="97"/>
      <c r="HK2" s="97"/>
      <c r="HL2" s="97"/>
      <c r="HM2" s="97"/>
      <c r="HN2" s="99"/>
    </row>
  </sheetData>
  <autoFilter ref="A1:HN111280" xr:uid="{32ADBF04-0841-411F-9EAE-0C010950961A}"/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HN2"/>
  <sheetViews>
    <sheetView zoomScaleNormal="100" workbookViewId="0">
      <selection activeCell="A3" sqref="A3:XFD109153"/>
    </sheetView>
  </sheetViews>
  <sheetFormatPr baseColWidth="10" defaultColWidth="11.42578125" defaultRowHeight="15" x14ac:dyDescent="0.25"/>
  <cols>
    <col min="1" max="1" width="29.42578125" style="45" customWidth="1"/>
    <col min="2" max="3" width="46.5703125" style="45" customWidth="1"/>
    <col min="4" max="5" width="10.7109375" style="45" customWidth="1"/>
    <col min="6" max="7" width="14.85546875" style="92" customWidth="1"/>
    <col min="8" max="8" width="22.28515625" style="45" bestFit="1" customWidth="1"/>
    <col min="9" max="9" width="12.7109375" style="45" bestFit="1" customWidth="1"/>
    <col min="10" max="10" width="27.140625" style="45" bestFit="1" customWidth="1"/>
    <col min="11" max="11" width="22.140625" style="45" bestFit="1" customWidth="1"/>
    <col min="12" max="12" width="32" style="45" customWidth="1"/>
    <col min="13" max="13" width="23.42578125" style="175" bestFit="1" customWidth="1"/>
    <col min="14" max="14" width="11.42578125" style="45" customWidth="1"/>
    <col min="15" max="15" width="22.7109375" style="45" customWidth="1"/>
    <col min="16" max="16" width="32" style="45" customWidth="1"/>
    <col min="17" max="17" width="23.28515625" style="175" bestFit="1" customWidth="1"/>
    <col min="18" max="18" width="11.42578125" style="45" customWidth="1"/>
    <col min="19" max="19" width="22.7109375" style="45" customWidth="1"/>
    <col min="20" max="20" width="17.140625" style="45" customWidth="1"/>
    <col min="21" max="21" width="15.140625" style="45" customWidth="1"/>
    <col min="22" max="22" width="15.7109375" style="45" customWidth="1"/>
    <col min="23" max="23" width="18.140625" style="45" customWidth="1"/>
    <col min="24" max="27" width="17.140625" style="45" customWidth="1"/>
    <col min="28" max="32" width="11.5703125" style="45" customWidth="1"/>
    <col min="33" max="33" width="15.5703125" style="45" customWidth="1"/>
    <col min="34" max="34" width="21.28515625" customWidth="1"/>
    <col min="35" max="35" width="34.140625" customWidth="1"/>
    <col min="36" max="36" width="40" customWidth="1"/>
    <col min="37" max="37" width="38.7109375" customWidth="1"/>
    <col min="38" max="41" width="22.28515625" style="45" customWidth="1"/>
    <col min="42" max="42" width="26.5703125" customWidth="1"/>
    <col min="43" max="43" width="55.28515625" style="1" customWidth="1"/>
    <col min="44" max="44" width="26" style="92" customWidth="1"/>
    <col min="45" max="45" width="23.7109375" customWidth="1"/>
    <col min="46" max="46" width="24.140625" style="45" customWidth="1"/>
    <col min="47" max="47" width="26.5703125" customWidth="1"/>
    <col min="48" max="48" width="55.28515625" style="1" customWidth="1"/>
    <col min="49" max="49" width="26" style="45" customWidth="1"/>
    <col min="50" max="50" width="23.7109375" customWidth="1"/>
    <col min="51" max="51" width="24.140625" style="45" customWidth="1"/>
    <col min="52" max="52" width="13.5703125" style="92" customWidth="1"/>
    <col min="53" max="53" width="13.7109375" style="45" customWidth="1"/>
    <col min="54" max="54" width="16.7109375" customWidth="1"/>
    <col min="55" max="56" width="23.5703125" customWidth="1"/>
    <col min="57" max="59" width="25.7109375" style="97" customWidth="1"/>
    <col min="60" max="60" width="39.140625" customWidth="1"/>
    <col min="61" max="61" width="14.5703125" style="97" customWidth="1"/>
    <col min="62" max="63" width="15.28515625" customWidth="1"/>
    <col min="64" max="64" width="15.42578125" customWidth="1"/>
    <col min="65" max="65" width="14.5703125" customWidth="1"/>
    <col min="66" max="66" width="16.85546875" customWidth="1"/>
    <col min="67" max="67" width="14.85546875" customWidth="1"/>
    <col min="68" max="71" width="16.28515625" style="45" customWidth="1"/>
    <col min="72" max="74" width="12.28515625" style="89" customWidth="1"/>
    <col min="75" max="75" width="16.7109375" style="89" customWidth="1"/>
    <col min="76" max="77" width="15" style="45" customWidth="1"/>
    <col min="78" max="79" width="17.5703125" style="45" customWidth="1"/>
    <col min="80" max="80" width="16.7109375" style="92" customWidth="1"/>
    <col min="81" max="82" width="14.85546875" style="92" customWidth="1"/>
    <col min="83" max="83" width="13.42578125" style="92" customWidth="1"/>
    <col min="84" max="84" width="22" style="96" customWidth="1"/>
    <col min="85" max="85" width="47.28515625" style="96" customWidth="1"/>
    <col min="86" max="86" width="19.140625" style="94" customWidth="1"/>
    <col min="87" max="87" width="47.28515625" style="95" customWidth="1"/>
    <col min="88" max="88" width="24.42578125" style="94" customWidth="1"/>
    <col min="89" max="89" width="24.42578125" style="93" customWidth="1"/>
    <col min="90" max="90" width="24.42578125" style="45" customWidth="1"/>
    <col min="91" max="91" width="23.7109375" style="45" bestFit="1" customWidth="1"/>
    <col min="92" max="93" width="24.7109375" style="45" bestFit="1" customWidth="1"/>
    <col min="94" max="94" width="23.7109375" style="45" bestFit="1" customWidth="1"/>
    <col min="95" max="96" width="23.7109375" style="92" bestFit="1" customWidth="1"/>
    <col min="97" max="97" width="24.7109375" style="45" bestFit="1" customWidth="1"/>
    <col min="98" max="99" width="24.7109375" style="92" bestFit="1" customWidth="1"/>
    <col min="100" max="100" width="24.28515625" style="45" bestFit="1" customWidth="1"/>
    <col min="101" max="101" width="25.28515625" style="45" bestFit="1" customWidth="1"/>
    <col min="102" max="102" width="26.42578125" style="91" bestFit="1" customWidth="1"/>
    <col min="103" max="108" width="26.42578125" style="45" bestFit="1" customWidth="1"/>
    <col min="109" max="110" width="19" style="45" bestFit="1" customWidth="1"/>
    <col min="111" max="111" width="17.42578125" style="45" bestFit="1" customWidth="1"/>
    <col min="112" max="112" width="19" style="45" bestFit="1" customWidth="1"/>
    <col min="113" max="115" width="20" style="45" bestFit="1" customWidth="1"/>
    <col min="116" max="119" width="18.42578125" style="45" bestFit="1" customWidth="1"/>
    <col min="120" max="120" width="19.42578125" style="45" bestFit="1" customWidth="1"/>
    <col min="121" max="121" width="17.28515625" style="89" bestFit="1" customWidth="1"/>
    <col min="122" max="122" width="17" style="89" bestFit="1" customWidth="1"/>
    <col min="123" max="123" width="17.5703125" style="89" bestFit="1" customWidth="1"/>
    <col min="124" max="124" width="18.42578125" style="89" bestFit="1" customWidth="1"/>
    <col min="125" max="125" width="18.140625" style="89" bestFit="1" customWidth="1"/>
    <col min="126" max="126" width="18.7109375" style="89" bestFit="1" customWidth="1"/>
    <col min="127" max="127" width="16.5703125" style="89" bestFit="1" customWidth="1"/>
    <col min="128" max="128" width="16.28515625" style="89" bestFit="1" customWidth="1"/>
    <col min="129" max="129" width="16.85546875" style="89" bestFit="1" customWidth="1"/>
    <col min="130" max="130" width="15.5703125" style="89" bestFit="1" customWidth="1"/>
    <col min="131" max="131" width="15.28515625" style="89" bestFit="1" customWidth="1"/>
    <col min="132" max="132" width="15.85546875" style="89" bestFit="1" customWidth="1"/>
    <col min="133" max="133" width="20" style="89" bestFit="1" customWidth="1"/>
    <col min="134" max="134" width="19.7109375" style="89" bestFit="1" customWidth="1"/>
    <col min="135" max="135" width="20.28515625" style="89" bestFit="1" customWidth="1"/>
    <col min="136" max="136" width="16.5703125" style="89" bestFit="1" customWidth="1"/>
    <col min="137" max="137" width="16.28515625" style="89" bestFit="1" customWidth="1"/>
    <col min="138" max="139" width="16.85546875" style="89" bestFit="1" customWidth="1"/>
    <col min="140" max="140" width="16.5703125" style="89" bestFit="1" customWidth="1"/>
    <col min="141" max="141" width="17.140625" style="89" bestFit="1" customWidth="1"/>
    <col min="142" max="142" width="16.28515625" style="89" bestFit="1" customWidth="1"/>
    <col min="143" max="143" width="15.85546875" style="89" bestFit="1" customWidth="1"/>
    <col min="144" max="144" width="16.5703125" style="89" bestFit="1" customWidth="1"/>
    <col min="145" max="145" width="20" style="89" bestFit="1" customWidth="1"/>
    <col min="146" max="146" width="19.7109375" style="90" bestFit="1" customWidth="1"/>
    <col min="147" max="147" width="20.28515625" style="89" bestFit="1" customWidth="1"/>
    <col min="148" max="148" width="61.85546875" customWidth="1"/>
    <col min="149" max="149" width="19" style="45" bestFit="1" customWidth="1"/>
    <col min="150" max="151" width="21.28515625" style="45" customWidth="1"/>
    <col min="152" max="152" width="24.42578125" customWidth="1"/>
    <col min="153" max="153" width="57.140625" customWidth="1"/>
    <col min="154" max="154" width="20.42578125" customWidth="1"/>
    <col min="155" max="155" width="57.140625" customWidth="1"/>
    <col min="156" max="156" width="22.5703125" style="45" bestFit="1" customWidth="1"/>
    <col min="157" max="157" width="23.140625" style="45" bestFit="1" customWidth="1"/>
    <col min="158" max="158" width="17.85546875" style="45" bestFit="1" customWidth="1"/>
    <col min="159" max="159" width="26.140625" style="45" bestFit="1" customWidth="1"/>
    <col min="160" max="161" width="27.28515625" style="45" bestFit="1" customWidth="1"/>
    <col min="162" max="164" width="26.140625" style="45" bestFit="1" customWidth="1"/>
    <col min="165" max="167" width="27.28515625" style="45" bestFit="1" customWidth="1"/>
    <col min="168" max="168" width="26.85546875" style="45" bestFit="1" customWidth="1"/>
    <col min="169" max="169" width="27.85546875" style="45" bestFit="1" customWidth="1"/>
    <col min="170" max="176" width="28.85546875" style="45" bestFit="1" customWidth="1"/>
    <col min="177" max="178" width="21.5703125" style="45" bestFit="1" customWidth="1"/>
    <col min="179" max="179" width="19.85546875" style="45" bestFit="1" customWidth="1"/>
    <col min="180" max="180" width="21.5703125" style="45" bestFit="1" customWidth="1"/>
    <col min="181" max="183" width="22.5703125" style="45" bestFit="1" customWidth="1"/>
    <col min="184" max="187" width="20.85546875" style="45" bestFit="1" customWidth="1"/>
    <col min="188" max="188" width="22" style="45" bestFit="1" customWidth="1"/>
    <col min="189" max="189" width="19.7109375" style="89" bestFit="1" customWidth="1"/>
    <col min="190" max="190" width="19.42578125" style="89" bestFit="1" customWidth="1"/>
    <col min="191" max="191" width="20" style="89" bestFit="1" customWidth="1"/>
    <col min="192" max="192" width="20.85546875" style="89" bestFit="1" customWidth="1"/>
    <col min="193" max="193" width="20.5703125" style="89" customWidth="1"/>
    <col min="194" max="194" width="21.28515625" style="89" bestFit="1" customWidth="1"/>
    <col min="195" max="195" width="19" style="89" bestFit="1" customWidth="1"/>
    <col min="196" max="196" width="18.7109375" style="89" bestFit="1" customWidth="1"/>
    <col min="197" max="197" width="19.28515625" style="89" bestFit="1" customWidth="1"/>
    <col min="198" max="198" width="18.140625" style="89" bestFit="1" customWidth="1"/>
    <col min="199" max="199" width="17.85546875" style="89" bestFit="1" customWidth="1"/>
    <col min="200" max="200" width="18.42578125" style="89" bestFit="1" customWidth="1"/>
    <col min="201" max="201" width="22.5703125" style="89" bestFit="1" customWidth="1"/>
    <col min="202" max="202" width="22.28515625" style="89" bestFit="1" customWidth="1"/>
    <col min="203" max="203" width="22.85546875" style="89" bestFit="1" customWidth="1"/>
    <col min="204" max="204" width="19" style="89" bestFit="1" customWidth="1"/>
    <col min="205" max="205" width="18.7109375" style="89" bestFit="1" customWidth="1"/>
    <col min="206" max="207" width="19.28515625" style="89" bestFit="1" customWidth="1"/>
    <col min="208" max="208" width="19" style="89" bestFit="1" customWidth="1"/>
    <col min="209" max="209" width="19.5703125" style="89" bestFit="1" customWidth="1"/>
    <col min="210" max="210" width="18.7109375" style="89" bestFit="1" customWidth="1"/>
    <col min="211" max="211" width="18.42578125" style="89" bestFit="1" customWidth="1"/>
    <col min="212" max="212" width="19" style="89" bestFit="1" customWidth="1"/>
    <col min="213" max="213" width="22.5703125" style="89" bestFit="1" customWidth="1"/>
    <col min="214" max="214" width="22.28515625" style="89" bestFit="1" customWidth="1"/>
    <col min="215" max="215" width="22.85546875" style="89" bestFit="1" customWidth="1"/>
    <col min="216" max="216" width="76.140625" style="89" customWidth="1"/>
    <col min="217" max="217" width="21.5703125" style="89" bestFit="1" customWidth="1"/>
    <col min="218" max="218" width="19.85546875" style="45" bestFit="1" customWidth="1"/>
    <col min="219" max="219" width="18.28515625" style="45" bestFit="1" customWidth="1"/>
    <col min="220" max="221" width="25.5703125" style="45" customWidth="1"/>
    <col min="222" max="222" width="22.85546875" customWidth="1"/>
  </cols>
  <sheetData>
    <row r="1" spans="1:222" s="109" customFormat="1" x14ac:dyDescent="0.25">
      <c r="A1" s="110" t="s">
        <v>297</v>
      </c>
      <c r="B1" s="110" t="s">
        <v>296</v>
      </c>
      <c r="C1" s="110" t="s">
        <v>295</v>
      </c>
      <c r="D1" s="110" t="s">
        <v>294</v>
      </c>
      <c r="E1" s="110" t="s">
        <v>293</v>
      </c>
      <c r="F1" s="170" t="s">
        <v>292</v>
      </c>
      <c r="G1" s="170" t="s">
        <v>291</v>
      </c>
      <c r="H1" s="110" t="s">
        <v>290</v>
      </c>
      <c r="I1" s="110" t="s">
        <v>289</v>
      </c>
      <c r="J1" s="110" t="s">
        <v>288</v>
      </c>
      <c r="K1" s="110" t="s">
        <v>287</v>
      </c>
      <c r="L1" s="110" t="s">
        <v>286</v>
      </c>
      <c r="M1" s="173" t="s">
        <v>285</v>
      </c>
      <c r="N1" s="110" t="s">
        <v>284</v>
      </c>
      <c r="O1" s="110" t="s">
        <v>283</v>
      </c>
      <c r="P1" s="110" t="s">
        <v>282</v>
      </c>
      <c r="Q1" s="173" t="s">
        <v>281</v>
      </c>
      <c r="R1" s="110" t="s">
        <v>280</v>
      </c>
      <c r="S1" s="110" t="s">
        <v>279</v>
      </c>
      <c r="T1" s="110" t="s">
        <v>278</v>
      </c>
      <c r="U1" s="110" t="s">
        <v>277</v>
      </c>
      <c r="V1" s="110" t="s">
        <v>276</v>
      </c>
      <c r="W1" s="110" t="s">
        <v>275</v>
      </c>
      <c r="X1" s="110" t="s">
        <v>274</v>
      </c>
      <c r="Y1" s="110" t="s">
        <v>273</v>
      </c>
      <c r="Z1" s="110" t="s">
        <v>272</v>
      </c>
      <c r="AA1" s="110" t="s">
        <v>271</v>
      </c>
      <c r="AB1" s="110" t="s">
        <v>270</v>
      </c>
      <c r="AC1" s="110" t="s">
        <v>269</v>
      </c>
      <c r="AD1" s="110" t="s">
        <v>268</v>
      </c>
      <c r="AE1" s="110" t="s">
        <v>267</v>
      </c>
      <c r="AF1" s="110" t="s">
        <v>266</v>
      </c>
      <c r="AG1" s="110" t="s">
        <v>265</v>
      </c>
      <c r="AH1" s="109" t="s">
        <v>264</v>
      </c>
      <c r="AI1" s="109" t="s">
        <v>263</v>
      </c>
      <c r="AJ1" s="109" t="s">
        <v>262</v>
      </c>
      <c r="AK1" s="109" t="s">
        <v>261</v>
      </c>
      <c r="AL1" s="110" t="s">
        <v>260</v>
      </c>
      <c r="AM1" s="110" t="s">
        <v>259</v>
      </c>
      <c r="AN1" s="110" t="s">
        <v>258</v>
      </c>
      <c r="AO1" s="110" t="s">
        <v>257</v>
      </c>
      <c r="AP1" s="109" t="s">
        <v>256</v>
      </c>
      <c r="AQ1" s="113" t="s">
        <v>255</v>
      </c>
      <c r="AR1" s="110" t="s">
        <v>254</v>
      </c>
      <c r="AS1" s="110" t="s">
        <v>253</v>
      </c>
      <c r="AT1" s="110" t="s">
        <v>252</v>
      </c>
      <c r="AU1" s="109" t="s">
        <v>251</v>
      </c>
      <c r="AV1" s="113" t="s">
        <v>250</v>
      </c>
      <c r="AW1" s="110" t="s">
        <v>249</v>
      </c>
      <c r="AX1" s="109" t="s">
        <v>248</v>
      </c>
      <c r="AY1" s="110" t="s">
        <v>247</v>
      </c>
      <c r="AZ1" s="110" t="s">
        <v>246</v>
      </c>
      <c r="BA1" s="110" t="s">
        <v>245</v>
      </c>
      <c r="BB1" s="109" t="s">
        <v>244</v>
      </c>
      <c r="BC1" s="109" t="s">
        <v>243</v>
      </c>
      <c r="BD1" s="109" t="s">
        <v>242</v>
      </c>
      <c r="BE1" s="112" t="s">
        <v>241</v>
      </c>
      <c r="BF1" s="112" t="s">
        <v>240</v>
      </c>
      <c r="BG1" s="112" t="s">
        <v>239</v>
      </c>
      <c r="BH1" s="109" t="s">
        <v>238</v>
      </c>
      <c r="BI1" s="112" t="s">
        <v>237</v>
      </c>
      <c r="BJ1" s="109" t="s">
        <v>236</v>
      </c>
      <c r="BK1" s="109" t="s">
        <v>235</v>
      </c>
      <c r="BL1" s="109" t="s">
        <v>234</v>
      </c>
      <c r="BM1" s="109" t="s">
        <v>233</v>
      </c>
      <c r="BN1" s="109" t="s">
        <v>232</v>
      </c>
      <c r="BO1" s="109" t="s">
        <v>231</v>
      </c>
      <c r="BP1" s="110" t="s">
        <v>230</v>
      </c>
      <c r="BQ1" s="110" t="s">
        <v>229</v>
      </c>
      <c r="BR1" s="110" t="s">
        <v>228</v>
      </c>
      <c r="BS1" s="110" t="s">
        <v>227</v>
      </c>
      <c r="BT1" s="110" t="s">
        <v>226</v>
      </c>
      <c r="BU1" s="110" t="s">
        <v>225</v>
      </c>
      <c r="BV1" s="110" t="s">
        <v>224</v>
      </c>
      <c r="BW1" s="110" t="s">
        <v>223</v>
      </c>
      <c r="BX1" s="110" t="s">
        <v>222</v>
      </c>
      <c r="BY1" s="110" t="s">
        <v>221</v>
      </c>
      <c r="BZ1" s="110" t="s">
        <v>220</v>
      </c>
      <c r="CA1" s="110" t="s">
        <v>219</v>
      </c>
      <c r="CB1" s="110" t="s">
        <v>218</v>
      </c>
      <c r="CC1" s="110" t="s">
        <v>217</v>
      </c>
      <c r="CD1" s="110" t="s">
        <v>216</v>
      </c>
      <c r="CE1" s="110" t="s">
        <v>215</v>
      </c>
      <c r="CF1" s="109" t="s">
        <v>214</v>
      </c>
      <c r="CG1" s="109" t="s">
        <v>213</v>
      </c>
      <c r="CH1" s="110" t="s">
        <v>212</v>
      </c>
      <c r="CI1" s="109" t="s">
        <v>211</v>
      </c>
      <c r="CJ1" s="110" t="s">
        <v>210</v>
      </c>
      <c r="CK1" s="110" t="s">
        <v>209</v>
      </c>
      <c r="CL1" s="110" t="s">
        <v>208</v>
      </c>
      <c r="CM1" s="110" t="s">
        <v>207</v>
      </c>
      <c r="CN1" s="110" t="s">
        <v>206</v>
      </c>
      <c r="CO1" s="110" t="s">
        <v>205</v>
      </c>
      <c r="CP1" s="110" t="s">
        <v>204</v>
      </c>
      <c r="CQ1" s="110" t="s">
        <v>203</v>
      </c>
      <c r="CR1" s="110" t="s">
        <v>202</v>
      </c>
      <c r="CS1" s="110" t="s">
        <v>201</v>
      </c>
      <c r="CT1" s="110" t="s">
        <v>200</v>
      </c>
      <c r="CU1" s="110" t="s">
        <v>199</v>
      </c>
      <c r="CV1" s="110" t="s">
        <v>198</v>
      </c>
      <c r="CW1" s="110" t="s">
        <v>197</v>
      </c>
      <c r="CX1" s="110" t="s">
        <v>196</v>
      </c>
      <c r="CY1" s="110" t="s">
        <v>195</v>
      </c>
      <c r="CZ1" s="110" t="s">
        <v>194</v>
      </c>
      <c r="DA1" s="110" t="s">
        <v>193</v>
      </c>
      <c r="DB1" s="110" t="s">
        <v>192</v>
      </c>
      <c r="DC1" s="110" t="s">
        <v>191</v>
      </c>
      <c r="DD1" s="110" t="s">
        <v>190</v>
      </c>
      <c r="DE1" s="110" t="s">
        <v>189</v>
      </c>
      <c r="DF1" s="110" t="s">
        <v>188</v>
      </c>
      <c r="DG1" s="110" t="s">
        <v>187</v>
      </c>
      <c r="DH1" s="110" t="s">
        <v>186</v>
      </c>
      <c r="DI1" s="110" t="s">
        <v>185</v>
      </c>
      <c r="DJ1" s="110" t="s">
        <v>184</v>
      </c>
      <c r="DK1" s="110" t="s">
        <v>183</v>
      </c>
      <c r="DL1" s="110" t="s">
        <v>182</v>
      </c>
      <c r="DM1" s="110" t="s">
        <v>181</v>
      </c>
      <c r="DN1" s="110" t="s">
        <v>180</v>
      </c>
      <c r="DO1" s="110" t="s">
        <v>179</v>
      </c>
      <c r="DP1" s="110" t="s">
        <v>178</v>
      </c>
      <c r="DQ1" s="111" t="s">
        <v>177</v>
      </c>
      <c r="DR1" s="111" t="s">
        <v>176</v>
      </c>
      <c r="DS1" s="111" t="s">
        <v>175</v>
      </c>
      <c r="DT1" s="111" t="s">
        <v>174</v>
      </c>
      <c r="DU1" s="111" t="s">
        <v>173</v>
      </c>
      <c r="DV1" s="111" t="s">
        <v>172</v>
      </c>
      <c r="DW1" s="111" t="s">
        <v>171</v>
      </c>
      <c r="DX1" s="111" t="s">
        <v>170</v>
      </c>
      <c r="DY1" s="111" t="s">
        <v>169</v>
      </c>
      <c r="DZ1" s="111" t="s">
        <v>168</v>
      </c>
      <c r="EA1" s="111" t="s">
        <v>167</v>
      </c>
      <c r="EB1" s="111" t="s">
        <v>166</v>
      </c>
      <c r="EC1" s="111" t="s">
        <v>165</v>
      </c>
      <c r="ED1" s="111" t="s">
        <v>164</v>
      </c>
      <c r="EE1" s="111" t="s">
        <v>163</v>
      </c>
      <c r="EF1" s="111" t="s">
        <v>162</v>
      </c>
      <c r="EG1" s="111" t="s">
        <v>161</v>
      </c>
      <c r="EH1" s="111" t="s">
        <v>160</v>
      </c>
      <c r="EI1" s="111" t="s">
        <v>159</v>
      </c>
      <c r="EJ1" s="111" t="s">
        <v>158</v>
      </c>
      <c r="EK1" s="111" t="s">
        <v>157</v>
      </c>
      <c r="EL1" s="111" t="s">
        <v>156</v>
      </c>
      <c r="EM1" s="111" t="s">
        <v>155</v>
      </c>
      <c r="EN1" s="111" t="s">
        <v>154</v>
      </c>
      <c r="EO1" s="111" t="s">
        <v>153</v>
      </c>
      <c r="EP1" s="111" t="s">
        <v>152</v>
      </c>
      <c r="EQ1" s="111" t="s">
        <v>151</v>
      </c>
      <c r="ER1" s="109" t="s">
        <v>150</v>
      </c>
      <c r="ES1" s="110" t="s">
        <v>149</v>
      </c>
      <c r="ET1" s="110" t="s">
        <v>148</v>
      </c>
      <c r="EU1" s="110" t="s">
        <v>147</v>
      </c>
      <c r="EV1" s="109" t="s">
        <v>146</v>
      </c>
      <c r="EW1" s="109" t="s">
        <v>145</v>
      </c>
      <c r="EX1" s="109" t="s">
        <v>144</v>
      </c>
      <c r="EY1" s="109" t="s">
        <v>143</v>
      </c>
      <c r="EZ1" s="110" t="s">
        <v>142</v>
      </c>
      <c r="FA1" s="110" t="s">
        <v>141</v>
      </c>
      <c r="FB1" s="110" t="s">
        <v>140</v>
      </c>
      <c r="FC1" s="110" t="s">
        <v>139</v>
      </c>
      <c r="FD1" s="110" t="s">
        <v>138</v>
      </c>
      <c r="FE1" s="110" t="s">
        <v>137</v>
      </c>
      <c r="FF1" s="110" t="s">
        <v>136</v>
      </c>
      <c r="FG1" s="110" t="s">
        <v>135</v>
      </c>
      <c r="FH1" s="110" t="s">
        <v>134</v>
      </c>
      <c r="FI1" s="110" t="s">
        <v>133</v>
      </c>
      <c r="FJ1" s="110" t="s">
        <v>132</v>
      </c>
      <c r="FK1" s="110" t="s">
        <v>131</v>
      </c>
      <c r="FL1" s="110" t="s">
        <v>130</v>
      </c>
      <c r="FM1" s="110" t="s">
        <v>129</v>
      </c>
      <c r="FN1" s="110" t="s">
        <v>128</v>
      </c>
      <c r="FO1" s="110" t="s">
        <v>127</v>
      </c>
      <c r="FP1" s="110" t="s">
        <v>126</v>
      </c>
      <c r="FQ1" s="110" t="s">
        <v>125</v>
      </c>
      <c r="FR1" s="110" t="s">
        <v>124</v>
      </c>
      <c r="FS1" s="110" t="s">
        <v>123</v>
      </c>
      <c r="FT1" s="110" t="s">
        <v>122</v>
      </c>
      <c r="FU1" s="110" t="s">
        <v>121</v>
      </c>
      <c r="FV1" s="110" t="s">
        <v>120</v>
      </c>
      <c r="FW1" s="110" t="s">
        <v>119</v>
      </c>
      <c r="FX1" s="110" t="s">
        <v>118</v>
      </c>
      <c r="FY1" s="110" t="s">
        <v>117</v>
      </c>
      <c r="FZ1" s="110" t="s">
        <v>116</v>
      </c>
      <c r="GA1" s="110" t="s">
        <v>115</v>
      </c>
      <c r="GB1" s="110" t="s">
        <v>114</v>
      </c>
      <c r="GC1" s="110" t="s">
        <v>113</v>
      </c>
      <c r="GD1" s="110" t="s">
        <v>112</v>
      </c>
      <c r="GE1" s="110" t="s">
        <v>111</v>
      </c>
      <c r="GF1" s="110" t="s">
        <v>110</v>
      </c>
      <c r="GG1" s="111" t="s">
        <v>109</v>
      </c>
      <c r="GH1" s="111" t="s">
        <v>108</v>
      </c>
      <c r="GI1" s="111" t="s">
        <v>107</v>
      </c>
      <c r="GJ1" s="111" t="s">
        <v>106</v>
      </c>
      <c r="GK1" s="111" t="s">
        <v>105</v>
      </c>
      <c r="GL1" s="111" t="s">
        <v>104</v>
      </c>
      <c r="GM1" s="111" t="s">
        <v>103</v>
      </c>
      <c r="GN1" s="111" t="s">
        <v>102</v>
      </c>
      <c r="GO1" s="111" t="s">
        <v>101</v>
      </c>
      <c r="GP1" s="111" t="s">
        <v>100</v>
      </c>
      <c r="GQ1" s="111" t="s">
        <v>99</v>
      </c>
      <c r="GR1" s="111" t="s">
        <v>98</v>
      </c>
      <c r="GS1" s="111" t="s">
        <v>97</v>
      </c>
      <c r="GT1" s="111" t="s">
        <v>96</v>
      </c>
      <c r="GU1" s="111" t="s">
        <v>95</v>
      </c>
      <c r="GV1" s="111" t="s">
        <v>94</v>
      </c>
      <c r="GW1" s="111" t="s">
        <v>93</v>
      </c>
      <c r="GX1" s="111" t="s">
        <v>92</v>
      </c>
      <c r="GY1" s="111" t="s">
        <v>91</v>
      </c>
      <c r="GZ1" s="111" t="s">
        <v>90</v>
      </c>
      <c r="HA1" s="111" t="s">
        <v>89</v>
      </c>
      <c r="HB1" s="111" t="s">
        <v>88</v>
      </c>
      <c r="HC1" s="111" t="s">
        <v>87</v>
      </c>
      <c r="HD1" s="111" t="s">
        <v>86</v>
      </c>
      <c r="HE1" s="111" t="s">
        <v>85</v>
      </c>
      <c r="HF1" s="111" t="s">
        <v>84</v>
      </c>
      <c r="HG1" s="111" t="s">
        <v>83</v>
      </c>
      <c r="HH1" s="111" t="s">
        <v>82</v>
      </c>
      <c r="HI1" s="111" t="s">
        <v>81</v>
      </c>
      <c r="HJ1" s="110" t="s">
        <v>80</v>
      </c>
      <c r="HK1" s="110" t="s">
        <v>79</v>
      </c>
      <c r="HL1" s="110" t="s">
        <v>78</v>
      </c>
      <c r="HM1" s="110" t="s">
        <v>77</v>
      </c>
      <c r="HN1" s="110"/>
    </row>
    <row r="2" spans="1:222" s="98" customFormat="1" x14ac:dyDescent="0.25">
      <c r="A2" s="97"/>
      <c r="B2" s="97"/>
      <c r="C2" s="97"/>
      <c r="D2" s="97"/>
      <c r="E2" s="97"/>
      <c r="F2" s="103"/>
      <c r="G2" s="103"/>
      <c r="H2" s="97"/>
      <c r="I2" s="97"/>
      <c r="J2" s="108"/>
      <c r="K2" s="108"/>
      <c r="L2" s="97"/>
      <c r="M2" s="174"/>
      <c r="N2" s="97"/>
      <c r="O2" s="97"/>
      <c r="P2" s="97"/>
      <c r="Q2" s="174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L2" s="97"/>
      <c r="AM2" s="97"/>
      <c r="AN2" s="97"/>
      <c r="AO2" s="97"/>
      <c r="AQ2" s="101"/>
      <c r="AR2" s="103"/>
      <c r="AS2" s="103"/>
      <c r="AT2" s="103"/>
      <c r="AV2" s="101"/>
      <c r="AW2" s="103"/>
      <c r="AX2" s="103"/>
      <c r="AY2" s="103"/>
      <c r="AZ2" s="103"/>
      <c r="BA2" s="97"/>
      <c r="BB2" s="99"/>
      <c r="BC2" s="108"/>
      <c r="BD2" s="108"/>
      <c r="BE2" s="97"/>
      <c r="BF2" s="97"/>
      <c r="BG2" s="97"/>
      <c r="BH2" s="101"/>
      <c r="BI2" s="97"/>
      <c r="BJ2" s="97"/>
      <c r="BK2" s="97"/>
      <c r="BL2" s="97"/>
      <c r="BM2" s="97"/>
      <c r="BN2" s="97"/>
      <c r="BP2" s="97"/>
      <c r="BQ2" s="97"/>
      <c r="BR2" s="97"/>
      <c r="BS2" s="97"/>
      <c r="BT2" s="99"/>
      <c r="BU2" s="99"/>
      <c r="BV2" s="99"/>
      <c r="BW2" s="99"/>
      <c r="BX2" s="97"/>
      <c r="BY2" s="97"/>
      <c r="BZ2" s="97"/>
      <c r="CA2" s="97"/>
      <c r="CB2" s="103"/>
      <c r="CC2" s="103"/>
      <c r="CD2" s="103"/>
      <c r="CE2" s="103"/>
      <c r="CF2" s="107"/>
      <c r="CG2" s="107"/>
      <c r="CH2" s="105"/>
      <c r="CI2" s="106"/>
      <c r="CJ2" s="105"/>
      <c r="CK2" s="104"/>
      <c r="CL2" s="97"/>
      <c r="CM2" s="97"/>
      <c r="CN2" s="97"/>
      <c r="CO2" s="97"/>
      <c r="CP2" s="97"/>
      <c r="CQ2" s="103"/>
      <c r="CR2" s="103"/>
      <c r="CS2" s="97"/>
      <c r="CT2" s="103"/>
      <c r="CU2" s="103"/>
      <c r="CV2" s="97"/>
      <c r="CW2" s="97"/>
      <c r="CX2" s="102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100"/>
      <c r="EQ2" s="99"/>
      <c r="ER2" s="101"/>
      <c r="ES2" s="97"/>
      <c r="ET2" s="97"/>
      <c r="EU2" s="97"/>
      <c r="EW2" s="101"/>
      <c r="EY2" s="101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100"/>
      <c r="HI2" s="99"/>
      <c r="HJ2" s="97"/>
      <c r="HK2" s="97"/>
      <c r="HL2" s="97"/>
      <c r="HM2" s="97"/>
      <c r="HN2" s="99"/>
    </row>
  </sheetData>
  <autoFilter ref="A1:HN109153" xr:uid="{DF109F3E-01CC-44E0-8AF9-BD5187F5E90D}"/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HN2"/>
  <sheetViews>
    <sheetView zoomScaleNormal="100" workbookViewId="0">
      <selection activeCell="A3" sqref="A3:XFD107451"/>
    </sheetView>
  </sheetViews>
  <sheetFormatPr baseColWidth="10" defaultColWidth="11.42578125" defaultRowHeight="15" x14ac:dyDescent="0.25"/>
  <cols>
    <col min="1" max="1" width="29.42578125" style="45" customWidth="1"/>
    <col min="2" max="3" width="46.5703125" style="45" customWidth="1"/>
    <col min="4" max="5" width="10.7109375" style="45" customWidth="1"/>
    <col min="6" max="7" width="14.85546875" style="92" customWidth="1"/>
    <col min="8" max="8" width="22.28515625" style="45" bestFit="1" customWidth="1"/>
    <col min="9" max="9" width="12.7109375" style="45" bestFit="1" customWidth="1"/>
    <col min="10" max="10" width="27.140625" style="45" bestFit="1" customWidth="1"/>
    <col min="11" max="11" width="22.140625" style="45" bestFit="1" customWidth="1"/>
    <col min="12" max="12" width="32" style="45" customWidth="1"/>
    <col min="13" max="13" width="20.28515625" style="175" customWidth="1"/>
    <col min="14" max="14" width="11.42578125" style="45" customWidth="1"/>
    <col min="15" max="15" width="22.7109375" style="45" customWidth="1"/>
    <col min="16" max="16" width="32" style="45" customWidth="1"/>
    <col min="17" max="17" width="23.28515625" style="175" bestFit="1" customWidth="1"/>
    <col min="18" max="18" width="11.42578125" style="45" customWidth="1"/>
    <col min="19" max="19" width="22.7109375" style="45" customWidth="1"/>
    <col min="20" max="20" width="17.140625" style="45" customWidth="1"/>
    <col min="21" max="21" width="15.140625" style="45" customWidth="1"/>
    <col min="22" max="22" width="15.7109375" style="45" customWidth="1"/>
    <col min="23" max="23" width="18.140625" style="45" customWidth="1"/>
    <col min="24" max="27" width="17.140625" style="45" customWidth="1"/>
    <col min="28" max="32" width="11.5703125" style="45" customWidth="1"/>
    <col min="33" max="33" width="15.5703125" style="45" customWidth="1"/>
    <col min="34" max="34" width="21.28515625" customWidth="1"/>
    <col min="35" max="35" width="34.140625" customWidth="1"/>
    <col min="36" max="36" width="40" customWidth="1"/>
    <col min="37" max="37" width="38.7109375" customWidth="1"/>
    <col min="38" max="41" width="22.28515625" style="45" customWidth="1"/>
    <col min="42" max="42" width="26.5703125" customWidth="1"/>
    <col min="43" max="43" width="55.28515625" style="1" customWidth="1"/>
    <col min="44" max="44" width="26" style="92" customWidth="1"/>
    <col min="45" max="45" width="23.7109375" customWidth="1"/>
    <col min="46" max="46" width="24.140625" style="45" customWidth="1"/>
    <col min="47" max="47" width="26.5703125" customWidth="1"/>
    <col min="48" max="48" width="55.28515625" style="1" customWidth="1"/>
    <col min="49" max="49" width="26" style="45" customWidth="1"/>
    <col min="50" max="50" width="23.7109375" customWidth="1"/>
    <col min="51" max="51" width="24.140625" style="45" customWidth="1"/>
    <col min="52" max="52" width="13.5703125" style="92" customWidth="1"/>
    <col min="53" max="53" width="13.7109375" style="45" customWidth="1"/>
    <col min="54" max="54" width="16.7109375" customWidth="1"/>
    <col min="55" max="56" width="23.5703125" customWidth="1"/>
    <col min="57" max="59" width="25.7109375" style="97" customWidth="1"/>
    <col min="60" max="60" width="39.140625" customWidth="1"/>
    <col min="61" max="61" width="14.5703125" style="97" customWidth="1"/>
    <col min="62" max="63" width="15.28515625" customWidth="1"/>
    <col min="64" max="64" width="15.42578125" customWidth="1"/>
    <col min="65" max="65" width="14.5703125" customWidth="1"/>
    <col min="66" max="66" width="16.85546875" customWidth="1"/>
    <col min="67" max="67" width="14.85546875" customWidth="1"/>
    <col min="68" max="71" width="16.28515625" style="45" customWidth="1"/>
    <col min="72" max="74" width="12.28515625" style="89" customWidth="1"/>
    <col min="75" max="75" width="16.7109375" style="89" customWidth="1"/>
    <col min="76" max="77" width="15" style="45" customWidth="1"/>
    <col min="78" max="79" width="17.5703125" style="45" customWidth="1"/>
    <col min="80" max="80" width="16.7109375" style="92" customWidth="1"/>
    <col min="81" max="82" width="14.85546875" style="92" customWidth="1"/>
    <col min="83" max="83" width="13.42578125" style="92" customWidth="1"/>
    <col min="84" max="84" width="22" style="96" customWidth="1"/>
    <col min="85" max="85" width="47.28515625" style="96" customWidth="1"/>
    <col min="86" max="86" width="19.140625" style="94" customWidth="1"/>
    <col min="87" max="87" width="47.28515625" style="95" customWidth="1"/>
    <col min="88" max="88" width="24.42578125" style="94" customWidth="1"/>
    <col min="89" max="89" width="24.42578125" style="93" customWidth="1"/>
    <col min="90" max="90" width="24.42578125" style="45" customWidth="1"/>
    <col min="91" max="91" width="23.7109375" style="45" bestFit="1" customWidth="1"/>
    <col min="92" max="93" width="24.7109375" style="45" bestFit="1" customWidth="1"/>
    <col min="94" max="94" width="23.7109375" style="45" bestFit="1" customWidth="1"/>
    <col min="95" max="96" width="23.7109375" style="92" bestFit="1" customWidth="1"/>
    <col min="97" max="97" width="24.7109375" style="45" bestFit="1" customWidth="1"/>
    <col min="98" max="99" width="24.7109375" style="92" bestFit="1" customWidth="1"/>
    <col min="100" max="100" width="24.28515625" style="45" bestFit="1" customWidth="1"/>
    <col min="101" max="101" width="25.28515625" style="45" bestFit="1" customWidth="1"/>
    <col min="102" max="102" width="26.42578125" style="91" bestFit="1" customWidth="1"/>
    <col min="103" max="108" width="26.42578125" style="45" bestFit="1" customWidth="1"/>
    <col min="109" max="110" width="19" style="45" bestFit="1" customWidth="1"/>
    <col min="111" max="111" width="17.42578125" style="45" bestFit="1" customWidth="1"/>
    <col min="112" max="112" width="19" style="45" bestFit="1" customWidth="1"/>
    <col min="113" max="115" width="20" style="45" bestFit="1" customWidth="1"/>
    <col min="116" max="119" width="18.42578125" style="45" bestFit="1" customWidth="1"/>
    <col min="120" max="120" width="19.42578125" style="45" bestFit="1" customWidth="1"/>
    <col min="121" max="121" width="17.28515625" style="89" bestFit="1" customWidth="1"/>
    <col min="122" max="122" width="17" style="89" bestFit="1" customWidth="1"/>
    <col min="123" max="123" width="17.5703125" style="89" bestFit="1" customWidth="1"/>
    <col min="124" max="124" width="18.42578125" style="89" bestFit="1" customWidth="1"/>
    <col min="125" max="125" width="18.140625" style="89" bestFit="1" customWidth="1"/>
    <col min="126" max="126" width="18.7109375" style="89" bestFit="1" customWidth="1"/>
    <col min="127" max="127" width="16.5703125" style="89" bestFit="1" customWidth="1"/>
    <col min="128" max="128" width="16.28515625" style="89" bestFit="1" customWidth="1"/>
    <col min="129" max="129" width="16.85546875" style="89" bestFit="1" customWidth="1"/>
    <col min="130" max="130" width="15.5703125" style="89" bestFit="1" customWidth="1"/>
    <col min="131" max="131" width="15.28515625" style="89" bestFit="1" customWidth="1"/>
    <col min="132" max="132" width="15.85546875" style="89" bestFit="1" customWidth="1"/>
    <col min="133" max="133" width="20" style="89" bestFit="1" customWidth="1"/>
    <col min="134" max="134" width="19.7109375" style="89" bestFit="1" customWidth="1"/>
    <col min="135" max="135" width="20.28515625" style="89" bestFit="1" customWidth="1"/>
    <col min="136" max="136" width="16.5703125" style="89" bestFit="1" customWidth="1"/>
    <col min="137" max="137" width="16.28515625" style="89" bestFit="1" customWidth="1"/>
    <col min="138" max="139" width="16.85546875" style="89" bestFit="1" customWidth="1"/>
    <col min="140" max="140" width="16.5703125" style="89" bestFit="1" customWidth="1"/>
    <col min="141" max="141" width="17.140625" style="89" bestFit="1" customWidth="1"/>
    <col min="142" max="142" width="16.28515625" style="89" bestFit="1" customWidth="1"/>
    <col min="143" max="143" width="15.85546875" style="89" bestFit="1" customWidth="1"/>
    <col min="144" max="144" width="16.5703125" style="89" bestFit="1" customWidth="1"/>
    <col min="145" max="145" width="20" style="89" bestFit="1" customWidth="1"/>
    <col min="146" max="146" width="19.7109375" style="90" bestFit="1" customWidth="1"/>
    <col min="147" max="147" width="20.28515625" style="89" bestFit="1" customWidth="1"/>
    <col min="148" max="148" width="61.85546875" customWidth="1"/>
    <col min="149" max="149" width="19" style="45" bestFit="1" customWidth="1"/>
    <col min="150" max="151" width="21.28515625" style="45" customWidth="1"/>
    <col min="152" max="152" width="24.42578125" customWidth="1"/>
    <col min="153" max="153" width="57.140625" customWidth="1"/>
    <col min="154" max="154" width="20.42578125" customWidth="1"/>
    <col min="155" max="155" width="57.140625" customWidth="1"/>
    <col min="156" max="156" width="22.5703125" style="45" bestFit="1" customWidth="1"/>
    <col min="157" max="157" width="23.140625" style="45" bestFit="1" customWidth="1"/>
    <col min="158" max="158" width="17.85546875" style="45" bestFit="1" customWidth="1"/>
    <col min="159" max="159" width="26.140625" style="45" bestFit="1" customWidth="1"/>
    <col min="160" max="161" width="27.28515625" style="45" bestFit="1" customWidth="1"/>
    <col min="162" max="164" width="26.140625" style="45" bestFit="1" customWidth="1"/>
    <col min="165" max="167" width="27.28515625" style="45" bestFit="1" customWidth="1"/>
    <col min="168" max="168" width="26.85546875" style="45" bestFit="1" customWidth="1"/>
    <col min="169" max="169" width="27.85546875" style="45" bestFit="1" customWidth="1"/>
    <col min="170" max="176" width="28.85546875" style="45" bestFit="1" customWidth="1"/>
    <col min="177" max="178" width="21.5703125" style="45" bestFit="1" customWidth="1"/>
    <col min="179" max="179" width="19.85546875" style="45" bestFit="1" customWidth="1"/>
    <col min="180" max="180" width="21.5703125" style="45" bestFit="1" customWidth="1"/>
    <col min="181" max="183" width="22.5703125" style="45" bestFit="1" customWidth="1"/>
    <col min="184" max="187" width="20.85546875" style="45" bestFit="1" customWidth="1"/>
    <col min="188" max="188" width="22" style="45" bestFit="1" customWidth="1"/>
    <col min="189" max="189" width="19.7109375" style="89" bestFit="1" customWidth="1"/>
    <col min="190" max="190" width="19.42578125" style="89" bestFit="1" customWidth="1"/>
    <col min="191" max="191" width="20" style="89" bestFit="1" customWidth="1"/>
    <col min="192" max="192" width="20.85546875" style="89" bestFit="1" customWidth="1"/>
    <col min="193" max="193" width="20.5703125" style="89" customWidth="1"/>
    <col min="194" max="194" width="21.28515625" style="89" bestFit="1" customWidth="1"/>
    <col min="195" max="195" width="19" style="89" bestFit="1" customWidth="1"/>
    <col min="196" max="196" width="18.7109375" style="89" bestFit="1" customWidth="1"/>
    <col min="197" max="197" width="19.28515625" style="89" bestFit="1" customWidth="1"/>
    <col min="198" max="198" width="18.140625" style="89" bestFit="1" customWidth="1"/>
    <col min="199" max="199" width="17.85546875" style="89" bestFit="1" customWidth="1"/>
    <col min="200" max="200" width="18.42578125" style="89" bestFit="1" customWidth="1"/>
    <col min="201" max="201" width="22.5703125" style="89" bestFit="1" customWidth="1"/>
    <col min="202" max="202" width="22.28515625" style="89" bestFit="1" customWidth="1"/>
    <col min="203" max="203" width="22.85546875" style="89" bestFit="1" customWidth="1"/>
    <col min="204" max="204" width="19" style="89" bestFit="1" customWidth="1"/>
    <col min="205" max="205" width="18.7109375" style="89" bestFit="1" customWidth="1"/>
    <col min="206" max="207" width="19.28515625" style="89" bestFit="1" customWidth="1"/>
    <col min="208" max="208" width="19" style="89" bestFit="1" customWidth="1"/>
    <col min="209" max="209" width="19.5703125" style="89" bestFit="1" customWidth="1"/>
    <col min="210" max="210" width="18.7109375" style="89" bestFit="1" customWidth="1"/>
    <col min="211" max="211" width="18.42578125" style="89" bestFit="1" customWidth="1"/>
    <col min="212" max="212" width="19" style="89" bestFit="1" customWidth="1"/>
    <col min="213" max="213" width="22.5703125" style="89" bestFit="1" customWidth="1"/>
    <col min="214" max="214" width="22.28515625" style="89" bestFit="1" customWidth="1"/>
    <col min="215" max="215" width="22.85546875" style="89" bestFit="1" customWidth="1"/>
    <col min="216" max="216" width="76.140625" style="89" customWidth="1"/>
    <col min="217" max="217" width="21.5703125" style="89" bestFit="1" customWidth="1"/>
    <col min="218" max="218" width="19.85546875" style="45" bestFit="1" customWidth="1"/>
    <col min="219" max="219" width="18.28515625" style="45" bestFit="1" customWidth="1"/>
    <col min="220" max="221" width="25.5703125" style="45" customWidth="1"/>
    <col min="222" max="222" width="23" customWidth="1"/>
  </cols>
  <sheetData>
    <row r="1" spans="1:222" s="109" customFormat="1" x14ac:dyDescent="0.25">
      <c r="A1" s="110" t="s">
        <v>297</v>
      </c>
      <c r="B1" s="110" t="s">
        <v>296</v>
      </c>
      <c r="C1" s="110" t="s">
        <v>295</v>
      </c>
      <c r="D1" s="110" t="s">
        <v>294</v>
      </c>
      <c r="E1" s="110" t="s">
        <v>293</v>
      </c>
      <c r="F1" s="170" t="s">
        <v>292</v>
      </c>
      <c r="G1" s="170" t="s">
        <v>291</v>
      </c>
      <c r="H1" s="110" t="s">
        <v>290</v>
      </c>
      <c r="I1" s="110" t="s">
        <v>289</v>
      </c>
      <c r="J1" s="110" t="s">
        <v>288</v>
      </c>
      <c r="K1" s="110" t="s">
        <v>287</v>
      </c>
      <c r="L1" s="110" t="s">
        <v>286</v>
      </c>
      <c r="M1" s="173" t="s">
        <v>285</v>
      </c>
      <c r="N1" s="110" t="s">
        <v>284</v>
      </c>
      <c r="O1" s="110" t="s">
        <v>283</v>
      </c>
      <c r="P1" s="110" t="s">
        <v>282</v>
      </c>
      <c r="Q1" s="173" t="s">
        <v>281</v>
      </c>
      <c r="R1" s="110" t="s">
        <v>280</v>
      </c>
      <c r="S1" s="110" t="s">
        <v>279</v>
      </c>
      <c r="T1" s="110" t="s">
        <v>278</v>
      </c>
      <c r="U1" s="110" t="s">
        <v>277</v>
      </c>
      <c r="V1" s="110" t="s">
        <v>276</v>
      </c>
      <c r="W1" s="110" t="s">
        <v>275</v>
      </c>
      <c r="X1" s="110" t="s">
        <v>274</v>
      </c>
      <c r="Y1" s="110" t="s">
        <v>273</v>
      </c>
      <c r="Z1" s="110" t="s">
        <v>272</v>
      </c>
      <c r="AA1" s="110" t="s">
        <v>271</v>
      </c>
      <c r="AB1" s="110" t="s">
        <v>270</v>
      </c>
      <c r="AC1" s="110" t="s">
        <v>269</v>
      </c>
      <c r="AD1" s="110" t="s">
        <v>268</v>
      </c>
      <c r="AE1" s="110" t="s">
        <v>267</v>
      </c>
      <c r="AF1" s="110" t="s">
        <v>266</v>
      </c>
      <c r="AG1" s="110" t="s">
        <v>265</v>
      </c>
      <c r="AH1" s="109" t="s">
        <v>264</v>
      </c>
      <c r="AI1" s="109" t="s">
        <v>263</v>
      </c>
      <c r="AJ1" s="109" t="s">
        <v>262</v>
      </c>
      <c r="AK1" s="109" t="s">
        <v>261</v>
      </c>
      <c r="AL1" s="110" t="s">
        <v>260</v>
      </c>
      <c r="AM1" s="110" t="s">
        <v>259</v>
      </c>
      <c r="AN1" s="110" t="s">
        <v>258</v>
      </c>
      <c r="AO1" s="110" t="s">
        <v>257</v>
      </c>
      <c r="AP1" s="109" t="s">
        <v>256</v>
      </c>
      <c r="AQ1" s="113" t="s">
        <v>255</v>
      </c>
      <c r="AR1" s="110" t="s">
        <v>254</v>
      </c>
      <c r="AS1" s="110" t="s">
        <v>253</v>
      </c>
      <c r="AT1" s="110" t="s">
        <v>252</v>
      </c>
      <c r="AU1" s="109" t="s">
        <v>251</v>
      </c>
      <c r="AV1" s="113" t="s">
        <v>250</v>
      </c>
      <c r="AW1" s="110" t="s">
        <v>249</v>
      </c>
      <c r="AX1" s="109" t="s">
        <v>248</v>
      </c>
      <c r="AY1" s="110" t="s">
        <v>247</v>
      </c>
      <c r="AZ1" s="110" t="s">
        <v>246</v>
      </c>
      <c r="BA1" s="110" t="s">
        <v>245</v>
      </c>
      <c r="BB1" s="109" t="s">
        <v>244</v>
      </c>
      <c r="BC1" s="109" t="s">
        <v>243</v>
      </c>
      <c r="BD1" s="109" t="s">
        <v>242</v>
      </c>
      <c r="BE1" s="112" t="s">
        <v>241</v>
      </c>
      <c r="BF1" s="112" t="s">
        <v>240</v>
      </c>
      <c r="BG1" s="112" t="s">
        <v>239</v>
      </c>
      <c r="BH1" s="109" t="s">
        <v>238</v>
      </c>
      <c r="BI1" s="112" t="s">
        <v>237</v>
      </c>
      <c r="BJ1" s="109" t="s">
        <v>236</v>
      </c>
      <c r="BK1" s="109" t="s">
        <v>235</v>
      </c>
      <c r="BL1" s="109" t="s">
        <v>234</v>
      </c>
      <c r="BM1" s="109" t="s">
        <v>233</v>
      </c>
      <c r="BN1" s="109" t="s">
        <v>232</v>
      </c>
      <c r="BO1" s="109" t="s">
        <v>231</v>
      </c>
      <c r="BP1" s="110" t="s">
        <v>230</v>
      </c>
      <c r="BQ1" s="110" t="s">
        <v>229</v>
      </c>
      <c r="BR1" s="110" t="s">
        <v>228</v>
      </c>
      <c r="BS1" s="110" t="s">
        <v>227</v>
      </c>
      <c r="BT1" s="110" t="s">
        <v>226</v>
      </c>
      <c r="BU1" s="110" t="s">
        <v>225</v>
      </c>
      <c r="BV1" s="110" t="s">
        <v>224</v>
      </c>
      <c r="BW1" s="110" t="s">
        <v>223</v>
      </c>
      <c r="BX1" s="110" t="s">
        <v>222</v>
      </c>
      <c r="BY1" s="110" t="s">
        <v>221</v>
      </c>
      <c r="BZ1" s="110" t="s">
        <v>220</v>
      </c>
      <c r="CA1" s="110" t="s">
        <v>219</v>
      </c>
      <c r="CB1" s="110" t="s">
        <v>218</v>
      </c>
      <c r="CC1" s="110" t="s">
        <v>217</v>
      </c>
      <c r="CD1" s="110" t="s">
        <v>216</v>
      </c>
      <c r="CE1" s="110" t="s">
        <v>215</v>
      </c>
      <c r="CF1" s="109" t="s">
        <v>214</v>
      </c>
      <c r="CG1" s="109" t="s">
        <v>213</v>
      </c>
      <c r="CH1" s="110" t="s">
        <v>212</v>
      </c>
      <c r="CI1" s="109" t="s">
        <v>211</v>
      </c>
      <c r="CJ1" s="110" t="s">
        <v>210</v>
      </c>
      <c r="CK1" s="110" t="s">
        <v>209</v>
      </c>
      <c r="CL1" s="110" t="s">
        <v>208</v>
      </c>
      <c r="CM1" s="110" t="s">
        <v>207</v>
      </c>
      <c r="CN1" s="110" t="s">
        <v>206</v>
      </c>
      <c r="CO1" s="110" t="s">
        <v>205</v>
      </c>
      <c r="CP1" s="110" t="s">
        <v>204</v>
      </c>
      <c r="CQ1" s="110" t="s">
        <v>203</v>
      </c>
      <c r="CR1" s="110" t="s">
        <v>202</v>
      </c>
      <c r="CS1" s="110" t="s">
        <v>201</v>
      </c>
      <c r="CT1" s="110" t="s">
        <v>200</v>
      </c>
      <c r="CU1" s="110" t="s">
        <v>199</v>
      </c>
      <c r="CV1" s="110" t="s">
        <v>198</v>
      </c>
      <c r="CW1" s="110" t="s">
        <v>197</v>
      </c>
      <c r="CX1" s="110" t="s">
        <v>196</v>
      </c>
      <c r="CY1" s="110" t="s">
        <v>195</v>
      </c>
      <c r="CZ1" s="110" t="s">
        <v>194</v>
      </c>
      <c r="DA1" s="110" t="s">
        <v>193</v>
      </c>
      <c r="DB1" s="110" t="s">
        <v>192</v>
      </c>
      <c r="DC1" s="110" t="s">
        <v>191</v>
      </c>
      <c r="DD1" s="110" t="s">
        <v>190</v>
      </c>
      <c r="DE1" s="110" t="s">
        <v>189</v>
      </c>
      <c r="DF1" s="110" t="s">
        <v>188</v>
      </c>
      <c r="DG1" s="110" t="s">
        <v>187</v>
      </c>
      <c r="DH1" s="110" t="s">
        <v>186</v>
      </c>
      <c r="DI1" s="110" t="s">
        <v>185</v>
      </c>
      <c r="DJ1" s="110" t="s">
        <v>184</v>
      </c>
      <c r="DK1" s="110" t="s">
        <v>183</v>
      </c>
      <c r="DL1" s="110" t="s">
        <v>182</v>
      </c>
      <c r="DM1" s="110" t="s">
        <v>181</v>
      </c>
      <c r="DN1" s="110" t="s">
        <v>180</v>
      </c>
      <c r="DO1" s="110" t="s">
        <v>179</v>
      </c>
      <c r="DP1" s="110" t="s">
        <v>178</v>
      </c>
      <c r="DQ1" s="111" t="s">
        <v>177</v>
      </c>
      <c r="DR1" s="111" t="s">
        <v>176</v>
      </c>
      <c r="DS1" s="111" t="s">
        <v>175</v>
      </c>
      <c r="DT1" s="111" t="s">
        <v>174</v>
      </c>
      <c r="DU1" s="111" t="s">
        <v>173</v>
      </c>
      <c r="DV1" s="111" t="s">
        <v>172</v>
      </c>
      <c r="DW1" s="111" t="s">
        <v>171</v>
      </c>
      <c r="DX1" s="111" t="s">
        <v>170</v>
      </c>
      <c r="DY1" s="111" t="s">
        <v>169</v>
      </c>
      <c r="DZ1" s="111" t="s">
        <v>168</v>
      </c>
      <c r="EA1" s="111" t="s">
        <v>167</v>
      </c>
      <c r="EB1" s="111" t="s">
        <v>166</v>
      </c>
      <c r="EC1" s="111" t="s">
        <v>165</v>
      </c>
      <c r="ED1" s="111" t="s">
        <v>164</v>
      </c>
      <c r="EE1" s="111" t="s">
        <v>163</v>
      </c>
      <c r="EF1" s="111" t="s">
        <v>162</v>
      </c>
      <c r="EG1" s="111" t="s">
        <v>161</v>
      </c>
      <c r="EH1" s="111" t="s">
        <v>160</v>
      </c>
      <c r="EI1" s="111" t="s">
        <v>159</v>
      </c>
      <c r="EJ1" s="111" t="s">
        <v>158</v>
      </c>
      <c r="EK1" s="111" t="s">
        <v>157</v>
      </c>
      <c r="EL1" s="111" t="s">
        <v>156</v>
      </c>
      <c r="EM1" s="111" t="s">
        <v>155</v>
      </c>
      <c r="EN1" s="111" t="s">
        <v>154</v>
      </c>
      <c r="EO1" s="111" t="s">
        <v>153</v>
      </c>
      <c r="EP1" s="111" t="s">
        <v>152</v>
      </c>
      <c r="EQ1" s="111" t="s">
        <v>151</v>
      </c>
      <c r="ER1" s="109" t="s">
        <v>150</v>
      </c>
      <c r="ES1" s="110" t="s">
        <v>149</v>
      </c>
      <c r="ET1" s="110" t="s">
        <v>148</v>
      </c>
      <c r="EU1" s="110" t="s">
        <v>147</v>
      </c>
      <c r="EV1" s="109" t="s">
        <v>146</v>
      </c>
      <c r="EW1" s="109" t="s">
        <v>145</v>
      </c>
      <c r="EX1" s="109" t="s">
        <v>144</v>
      </c>
      <c r="EY1" s="109" t="s">
        <v>143</v>
      </c>
      <c r="EZ1" s="110" t="s">
        <v>142</v>
      </c>
      <c r="FA1" s="110" t="s">
        <v>141</v>
      </c>
      <c r="FB1" s="110" t="s">
        <v>140</v>
      </c>
      <c r="FC1" s="110" t="s">
        <v>139</v>
      </c>
      <c r="FD1" s="110" t="s">
        <v>138</v>
      </c>
      <c r="FE1" s="110" t="s">
        <v>137</v>
      </c>
      <c r="FF1" s="110" t="s">
        <v>136</v>
      </c>
      <c r="FG1" s="110" t="s">
        <v>135</v>
      </c>
      <c r="FH1" s="110" t="s">
        <v>134</v>
      </c>
      <c r="FI1" s="110" t="s">
        <v>133</v>
      </c>
      <c r="FJ1" s="110" t="s">
        <v>132</v>
      </c>
      <c r="FK1" s="110" t="s">
        <v>131</v>
      </c>
      <c r="FL1" s="110" t="s">
        <v>130</v>
      </c>
      <c r="FM1" s="110" t="s">
        <v>129</v>
      </c>
      <c r="FN1" s="110" t="s">
        <v>128</v>
      </c>
      <c r="FO1" s="110" t="s">
        <v>127</v>
      </c>
      <c r="FP1" s="110" t="s">
        <v>126</v>
      </c>
      <c r="FQ1" s="110" t="s">
        <v>125</v>
      </c>
      <c r="FR1" s="110" t="s">
        <v>124</v>
      </c>
      <c r="FS1" s="110" t="s">
        <v>123</v>
      </c>
      <c r="FT1" s="110" t="s">
        <v>122</v>
      </c>
      <c r="FU1" s="110" t="s">
        <v>121</v>
      </c>
      <c r="FV1" s="110" t="s">
        <v>120</v>
      </c>
      <c r="FW1" s="110" t="s">
        <v>119</v>
      </c>
      <c r="FX1" s="110" t="s">
        <v>118</v>
      </c>
      <c r="FY1" s="110" t="s">
        <v>117</v>
      </c>
      <c r="FZ1" s="110" t="s">
        <v>116</v>
      </c>
      <c r="GA1" s="110" t="s">
        <v>115</v>
      </c>
      <c r="GB1" s="110" t="s">
        <v>114</v>
      </c>
      <c r="GC1" s="110" t="s">
        <v>113</v>
      </c>
      <c r="GD1" s="110" t="s">
        <v>112</v>
      </c>
      <c r="GE1" s="110" t="s">
        <v>111</v>
      </c>
      <c r="GF1" s="110" t="s">
        <v>110</v>
      </c>
      <c r="GG1" s="111" t="s">
        <v>109</v>
      </c>
      <c r="GH1" s="111" t="s">
        <v>108</v>
      </c>
      <c r="GI1" s="111" t="s">
        <v>107</v>
      </c>
      <c r="GJ1" s="111" t="s">
        <v>106</v>
      </c>
      <c r="GK1" s="111" t="s">
        <v>105</v>
      </c>
      <c r="GL1" s="111" t="s">
        <v>104</v>
      </c>
      <c r="GM1" s="111" t="s">
        <v>103</v>
      </c>
      <c r="GN1" s="111" t="s">
        <v>102</v>
      </c>
      <c r="GO1" s="111" t="s">
        <v>101</v>
      </c>
      <c r="GP1" s="111" t="s">
        <v>100</v>
      </c>
      <c r="GQ1" s="111" t="s">
        <v>99</v>
      </c>
      <c r="GR1" s="111" t="s">
        <v>98</v>
      </c>
      <c r="GS1" s="111" t="s">
        <v>97</v>
      </c>
      <c r="GT1" s="111" t="s">
        <v>96</v>
      </c>
      <c r="GU1" s="111" t="s">
        <v>95</v>
      </c>
      <c r="GV1" s="111" t="s">
        <v>94</v>
      </c>
      <c r="GW1" s="111" t="s">
        <v>93</v>
      </c>
      <c r="GX1" s="111" t="s">
        <v>92</v>
      </c>
      <c r="GY1" s="111" t="s">
        <v>91</v>
      </c>
      <c r="GZ1" s="111" t="s">
        <v>90</v>
      </c>
      <c r="HA1" s="111" t="s">
        <v>89</v>
      </c>
      <c r="HB1" s="111" t="s">
        <v>88</v>
      </c>
      <c r="HC1" s="111" t="s">
        <v>87</v>
      </c>
      <c r="HD1" s="111" t="s">
        <v>86</v>
      </c>
      <c r="HE1" s="111" t="s">
        <v>85</v>
      </c>
      <c r="HF1" s="111" t="s">
        <v>84</v>
      </c>
      <c r="HG1" s="111" t="s">
        <v>83</v>
      </c>
      <c r="HH1" s="111" t="s">
        <v>82</v>
      </c>
      <c r="HI1" s="111" t="s">
        <v>81</v>
      </c>
      <c r="HJ1" s="110" t="s">
        <v>80</v>
      </c>
      <c r="HK1" s="110" t="s">
        <v>79</v>
      </c>
      <c r="HL1" s="110" t="s">
        <v>78</v>
      </c>
      <c r="HM1" s="110" t="s">
        <v>77</v>
      </c>
      <c r="HN1" s="110"/>
    </row>
    <row r="2" spans="1:222" s="98" customFormat="1" x14ac:dyDescent="0.25">
      <c r="A2" s="97"/>
      <c r="B2" s="97"/>
      <c r="C2" s="97"/>
      <c r="D2" s="97"/>
      <c r="E2" s="97"/>
      <c r="F2" s="103"/>
      <c r="G2" s="103"/>
      <c r="H2" s="97"/>
      <c r="I2" s="97"/>
      <c r="J2" s="108"/>
      <c r="K2" s="108"/>
      <c r="L2" s="97"/>
      <c r="M2" s="174"/>
      <c r="N2" s="97"/>
      <c r="O2" s="97"/>
      <c r="P2" s="97"/>
      <c r="Q2" s="174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L2" s="97"/>
      <c r="AM2" s="97"/>
      <c r="AN2" s="97"/>
      <c r="AO2" s="97"/>
      <c r="AQ2" s="101"/>
      <c r="AR2" s="103"/>
      <c r="AS2" s="103"/>
      <c r="AT2" s="103"/>
      <c r="AV2" s="101"/>
      <c r="AW2" s="103"/>
      <c r="AX2" s="103"/>
      <c r="AY2" s="103"/>
      <c r="AZ2" s="103"/>
      <c r="BA2" s="97"/>
      <c r="BB2" s="99"/>
      <c r="BC2" s="108"/>
      <c r="BD2" s="108"/>
      <c r="BE2" s="97"/>
      <c r="BF2" s="97"/>
      <c r="BG2" s="97"/>
      <c r="BH2" s="101"/>
      <c r="BI2" s="97"/>
      <c r="BJ2" s="97"/>
      <c r="BK2" s="97"/>
      <c r="BL2" s="97"/>
      <c r="BM2" s="97"/>
      <c r="BN2" s="97"/>
      <c r="BP2" s="97"/>
      <c r="BQ2" s="97"/>
      <c r="BR2" s="97"/>
      <c r="BS2" s="97"/>
      <c r="BT2" s="99"/>
      <c r="BU2" s="99"/>
      <c r="BV2" s="99"/>
      <c r="BW2" s="99"/>
      <c r="BX2" s="97"/>
      <c r="BY2" s="97"/>
      <c r="BZ2" s="97"/>
      <c r="CA2" s="97"/>
      <c r="CB2" s="103"/>
      <c r="CC2" s="103"/>
      <c r="CD2" s="103"/>
      <c r="CE2" s="103"/>
      <c r="CF2" s="107"/>
      <c r="CG2" s="107"/>
      <c r="CH2" s="105"/>
      <c r="CI2" s="106"/>
      <c r="CJ2" s="105"/>
      <c r="CK2" s="104"/>
      <c r="CL2" s="97"/>
      <c r="CM2" s="97"/>
      <c r="CN2" s="97"/>
      <c r="CO2" s="97"/>
      <c r="CP2" s="97"/>
      <c r="CQ2" s="103"/>
      <c r="CR2" s="103"/>
      <c r="CS2" s="97"/>
      <c r="CT2" s="103"/>
      <c r="CU2" s="103"/>
      <c r="CV2" s="97"/>
      <c r="CW2" s="97"/>
      <c r="CX2" s="102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100"/>
      <c r="EQ2" s="99"/>
      <c r="ER2" s="101"/>
      <c r="ES2" s="97"/>
      <c r="ET2" s="97"/>
      <c r="EU2" s="97"/>
      <c r="EW2" s="101"/>
      <c r="EY2" s="101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100"/>
      <c r="HI2" s="99"/>
      <c r="HJ2" s="97"/>
      <c r="HK2" s="97"/>
      <c r="HL2" s="97"/>
      <c r="HM2" s="97"/>
      <c r="HN2" s="99"/>
    </row>
  </sheetData>
  <autoFilter ref="A1:HN107451" xr:uid="{D919EDAA-AB59-4F73-B4F4-F2B57E1AE7E0}"/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N2"/>
  <sheetViews>
    <sheetView zoomScaleNormal="100" workbookViewId="0"/>
  </sheetViews>
  <sheetFormatPr baseColWidth="10" defaultColWidth="11.42578125" defaultRowHeight="15" x14ac:dyDescent="0.25"/>
  <cols>
    <col min="1" max="1" width="29.42578125" style="45" customWidth="1"/>
    <col min="2" max="3" width="46.5703125" style="45" customWidth="1"/>
    <col min="4" max="5" width="10.7109375" style="45" customWidth="1"/>
    <col min="6" max="7" width="14.85546875" style="45" customWidth="1"/>
    <col min="8" max="8" width="22.28515625" style="45" bestFit="1" customWidth="1"/>
    <col min="9" max="9" width="12.7109375" style="45" bestFit="1" customWidth="1"/>
    <col min="10" max="10" width="27.140625" style="45" bestFit="1" customWidth="1"/>
    <col min="11" max="11" width="22.140625" style="45" bestFit="1" customWidth="1"/>
    <col min="12" max="12" width="32" style="45" customWidth="1"/>
    <col min="13" max="13" width="20.28515625" style="45" customWidth="1"/>
    <col min="14" max="14" width="11.42578125" style="45" customWidth="1"/>
    <col min="15" max="15" width="22.7109375" style="45" customWidth="1"/>
    <col min="16" max="16" width="32" style="45" customWidth="1"/>
    <col min="17" max="17" width="20.28515625" style="45" customWidth="1"/>
    <col min="18" max="18" width="11.42578125" style="45" customWidth="1"/>
    <col min="19" max="19" width="22.7109375" style="45" customWidth="1"/>
    <col min="20" max="20" width="17.140625" style="45" customWidth="1"/>
    <col min="21" max="21" width="15.140625" style="45" customWidth="1"/>
    <col min="22" max="22" width="15.7109375" style="45" customWidth="1"/>
    <col min="23" max="23" width="18.140625" style="45" customWidth="1"/>
    <col min="24" max="27" width="17.140625" style="45" customWidth="1"/>
    <col min="28" max="32" width="11.5703125" style="45" customWidth="1"/>
    <col min="33" max="33" width="15.5703125" style="45" customWidth="1"/>
    <col min="34" max="34" width="21.28515625" customWidth="1"/>
    <col min="35" max="35" width="34.140625" customWidth="1"/>
    <col min="36" max="36" width="40" customWidth="1"/>
    <col min="37" max="37" width="38.7109375" customWidth="1"/>
    <col min="38" max="41" width="22.28515625" style="45" customWidth="1"/>
    <col min="42" max="42" width="26.5703125" customWidth="1"/>
    <col min="43" max="43" width="55.28515625" style="1" customWidth="1"/>
    <col min="44" max="44" width="26" style="92" customWidth="1"/>
    <col min="45" max="45" width="23.7109375" customWidth="1"/>
    <col min="46" max="46" width="24.140625" style="45" customWidth="1"/>
    <col min="47" max="47" width="26.5703125" customWidth="1"/>
    <col min="48" max="48" width="55.28515625" style="1" customWidth="1"/>
    <col min="49" max="49" width="26" style="45" customWidth="1"/>
    <col min="50" max="50" width="23.7109375" customWidth="1"/>
    <col min="51" max="51" width="24.140625" style="45" customWidth="1"/>
    <col min="52" max="52" width="13.5703125" style="92" customWidth="1"/>
    <col min="53" max="53" width="13.7109375" style="45" customWidth="1"/>
    <col min="54" max="54" width="16.7109375" customWidth="1"/>
    <col min="55" max="56" width="23.5703125" customWidth="1"/>
    <col min="57" max="59" width="25.7109375" style="97" customWidth="1"/>
    <col min="60" max="60" width="39.140625" customWidth="1"/>
    <col min="61" max="61" width="14.5703125" style="97" customWidth="1"/>
    <col min="62" max="63" width="15.28515625" customWidth="1"/>
    <col min="64" max="64" width="15.42578125" customWidth="1"/>
    <col min="65" max="65" width="14.5703125" customWidth="1"/>
    <col min="66" max="66" width="16.85546875" customWidth="1"/>
    <col min="67" max="67" width="14.85546875" customWidth="1"/>
    <col min="68" max="71" width="16.28515625" style="45" customWidth="1"/>
    <col min="72" max="74" width="12.28515625" style="89" customWidth="1"/>
    <col min="75" max="75" width="16.7109375" style="89" customWidth="1"/>
    <col min="76" max="77" width="15" style="45" customWidth="1"/>
    <col min="78" max="79" width="17.5703125" style="45" customWidth="1"/>
    <col min="80" max="80" width="16.7109375" style="92" customWidth="1"/>
    <col min="81" max="82" width="14.85546875" style="92" customWidth="1"/>
    <col min="83" max="83" width="13.42578125" style="92" customWidth="1"/>
    <col min="84" max="84" width="22" style="96" customWidth="1"/>
    <col min="85" max="85" width="47.28515625" style="96" customWidth="1"/>
    <col min="86" max="86" width="19.140625" style="94" customWidth="1"/>
    <col min="87" max="87" width="47.28515625" style="95" customWidth="1"/>
    <col min="88" max="88" width="24.42578125" style="94" customWidth="1"/>
    <col min="89" max="89" width="24.42578125" style="93" customWidth="1"/>
    <col min="90" max="90" width="24.42578125" style="45" customWidth="1"/>
    <col min="91" max="91" width="23.7109375" style="45" bestFit="1" customWidth="1"/>
    <col min="92" max="93" width="24.7109375" style="45" bestFit="1" customWidth="1"/>
    <col min="94" max="94" width="23.7109375" style="45" bestFit="1" customWidth="1"/>
    <col min="95" max="96" width="23.7109375" style="92" bestFit="1" customWidth="1"/>
    <col min="97" max="97" width="24.7109375" style="45" bestFit="1" customWidth="1"/>
    <col min="98" max="99" width="24.7109375" style="92" bestFit="1" customWidth="1"/>
    <col min="100" max="100" width="24.28515625" style="45" bestFit="1" customWidth="1"/>
    <col min="101" max="101" width="25.28515625" style="45" bestFit="1" customWidth="1"/>
    <col min="102" max="102" width="26.42578125" style="91" bestFit="1" customWidth="1"/>
    <col min="103" max="108" width="26.42578125" style="45" bestFit="1" customWidth="1"/>
    <col min="109" max="110" width="19" style="45" bestFit="1" customWidth="1"/>
    <col min="111" max="111" width="17.42578125" style="45" bestFit="1" customWidth="1"/>
    <col min="112" max="112" width="19" style="45" bestFit="1" customWidth="1"/>
    <col min="113" max="115" width="20" style="45" bestFit="1" customWidth="1"/>
    <col min="116" max="119" width="18.42578125" style="45" bestFit="1" customWidth="1"/>
    <col min="120" max="120" width="19.42578125" style="45" bestFit="1" customWidth="1"/>
    <col min="121" max="121" width="17.28515625" style="89" bestFit="1" customWidth="1"/>
    <col min="122" max="122" width="17" style="89" bestFit="1" customWidth="1"/>
    <col min="123" max="123" width="17.5703125" style="89" bestFit="1" customWidth="1"/>
    <col min="124" max="124" width="18.42578125" style="89" bestFit="1" customWidth="1"/>
    <col min="125" max="125" width="18.140625" style="89" bestFit="1" customWidth="1"/>
    <col min="126" max="126" width="18.7109375" style="89" bestFit="1" customWidth="1"/>
    <col min="127" max="127" width="16.5703125" style="89" bestFit="1" customWidth="1"/>
    <col min="128" max="128" width="16.28515625" style="89" bestFit="1" customWidth="1"/>
    <col min="129" max="129" width="16.85546875" style="89" bestFit="1" customWidth="1"/>
    <col min="130" max="130" width="15.5703125" style="89" bestFit="1" customWidth="1"/>
    <col min="131" max="131" width="15.28515625" style="89" bestFit="1" customWidth="1"/>
    <col min="132" max="132" width="15.85546875" style="89" bestFit="1" customWidth="1"/>
    <col min="133" max="133" width="20" style="89" bestFit="1" customWidth="1"/>
    <col min="134" max="134" width="19.7109375" style="89" bestFit="1" customWidth="1"/>
    <col min="135" max="135" width="20.28515625" style="89" bestFit="1" customWidth="1"/>
    <col min="136" max="136" width="16.5703125" style="89" bestFit="1" customWidth="1"/>
    <col min="137" max="137" width="16.28515625" style="89" bestFit="1" customWidth="1"/>
    <col min="138" max="139" width="16.85546875" style="89" bestFit="1" customWidth="1"/>
    <col min="140" max="140" width="16.5703125" style="89" bestFit="1" customWidth="1"/>
    <col min="141" max="141" width="17.140625" style="89" bestFit="1" customWidth="1"/>
    <col min="142" max="142" width="16.28515625" style="89" bestFit="1" customWidth="1"/>
    <col min="143" max="143" width="15.85546875" style="89" bestFit="1" customWidth="1"/>
    <col min="144" max="144" width="16.5703125" style="89" bestFit="1" customWidth="1"/>
    <col min="145" max="145" width="20" style="89" bestFit="1" customWidth="1"/>
    <col min="146" max="146" width="19.7109375" style="90" bestFit="1" customWidth="1"/>
    <col min="147" max="147" width="20.28515625" style="89" bestFit="1" customWidth="1"/>
    <col min="148" max="148" width="61.85546875" customWidth="1"/>
    <col min="149" max="149" width="19" style="45" bestFit="1" customWidth="1"/>
    <col min="150" max="151" width="21.28515625" style="45" customWidth="1"/>
    <col min="152" max="152" width="24.42578125" customWidth="1"/>
    <col min="153" max="153" width="57.140625" customWidth="1"/>
    <col min="154" max="154" width="20.42578125" customWidth="1"/>
    <col min="155" max="155" width="57.140625" customWidth="1"/>
    <col min="156" max="156" width="22.5703125" style="45" bestFit="1" customWidth="1"/>
    <col min="157" max="157" width="23.140625" style="45" bestFit="1" customWidth="1"/>
    <col min="158" max="158" width="17.85546875" style="45" bestFit="1" customWidth="1"/>
    <col min="159" max="159" width="26.140625" style="45" bestFit="1" customWidth="1"/>
    <col min="160" max="161" width="27.28515625" style="45" bestFit="1" customWidth="1"/>
    <col min="162" max="164" width="26.140625" style="45" bestFit="1" customWidth="1"/>
    <col min="165" max="167" width="27.28515625" style="45" bestFit="1" customWidth="1"/>
    <col min="168" max="168" width="26.85546875" style="45" bestFit="1" customWidth="1"/>
    <col min="169" max="169" width="27.85546875" style="45" bestFit="1" customWidth="1"/>
    <col min="170" max="176" width="28.85546875" style="45" bestFit="1" customWidth="1"/>
    <col min="177" max="178" width="21.5703125" style="45" bestFit="1" customWidth="1"/>
    <col min="179" max="179" width="19.85546875" style="45" bestFit="1" customWidth="1"/>
    <col min="180" max="180" width="21.5703125" style="45" bestFit="1" customWidth="1"/>
    <col min="181" max="183" width="22.5703125" style="45" bestFit="1" customWidth="1"/>
    <col min="184" max="187" width="20.85546875" style="45" bestFit="1" customWidth="1"/>
    <col min="188" max="188" width="22" style="45" bestFit="1" customWidth="1"/>
    <col min="189" max="189" width="19.7109375" style="89" bestFit="1" customWidth="1"/>
    <col min="190" max="190" width="19.42578125" style="89" bestFit="1" customWidth="1"/>
    <col min="191" max="191" width="20" style="89" bestFit="1" customWidth="1"/>
    <col min="192" max="192" width="20.85546875" style="89" bestFit="1" customWidth="1"/>
    <col min="193" max="193" width="20.5703125" style="89" customWidth="1"/>
    <col min="194" max="194" width="21.28515625" style="89" bestFit="1" customWidth="1"/>
    <col min="195" max="195" width="19" style="89" bestFit="1" customWidth="1"/>
    <col min="196" max="196" width="18.7109375" style="89" bestFit="1" customWidth="1"/>
    <col min="197" max="197" width="19.28515625" style="89" bestFit="1" customWidth="1"/>
    <col min="198" max="198" width="18.140625" style="89" bestFit="1" customWidth="1"/>
    <col min="199" max="199" width="17.85546875" style="89" bestFit="1" customWidth="1"/>
    <col min="200" max="200" width="18.42578125" style="89" bestFit="1" customWidth="1"/>
    <col min="201" max="201" width="22.5703125" style="89" bestFit="1" customWidth="1"/>
    <col min="202" max="202" width="22.28515625" style="89" bestFit="1" customWidth="1"/>
    <col min="203" max="203" width="22.85546875" style="89" bestFit="1" customWidth="1"/>
    <col min="204" max="204" width="19" style="89" bestFit="1" customWidth="1"/>
    <col min="205" max="205" width="18.7109375" style="89" bestFit="1" customWidth="1"/>
    <col min="206" max="207" width="19.28515625" style="89" bestFit="1" customWidth="1"/>
    <col min="208" max="208" width="19" style="89" bestFit="1" customWidth="1"/>
    <col min="209" max="209" width="19.5703125" style="89" bestFit="1" customWidth="1"/>
    <col min="210" max="210" width="18.7109375" style="89" bestFit="1" customWidth="1"/>
    <col min="211" max="211" width="18.42578125" style="89" bestFit="1" customWidth="1"/>
    <col min="212" max="212" width="19" style="89" bestFit="1" customWidth="1"/>
    <col min="213" max="213" width="22.5703125" style="89" bestFit="1" customWidth="1"/>
    <col min="214" max="214" width="22.28515625" style="89" bestFit="1" customWidth="1"/>
    <col min="215" max="215" width="22.85546875" style="89" bestFit="1" customWidth="1"/>
    <col min="216" max="216" width="76.140625" style="89" customWidth="1"/>
    <col min="217" max="217" width="21.5703125" style="89" bestFit="1" customWidth="1"/>
    <col min="218" max="218" width="19.85546875" style="45" bestFit="1" customWidth="1"/>
    <col min="219" max="219" width="18.28515625" style="45" bestFit="1" customWidth="1"/>
    <col min="220" max="221" width="25.5703125" style="45" customWidth="1"/>
    <col min="222" max="222" width="23" customWidth="1"/>
  </cols>
  <sheetData>
    <row r="1" spans="1:222" s="109" customFormat="1" x14ac:dyDescent="0.25">
      <c r="A1" s="110" t="s">
        <v>297</v>
      </c>
      <c r="B1" s="110" t="s">
        <v>296</v>
      </c>
      <c r="C1" s="110" t="s">
        <v>295</v>
      </c>
      <c r="D1" s="110" t="s">
        <v>294</v>
      </c>
      <c r="E1" s="110" t="s">
        <v>293</v>
      </c>
      <c r="F1" s="110" t="s">
        <v>292</v>
      </c>
      <c r="G1" s="110" t="s">
        <v>291</v>
      </c>
      <c r="H1" s="110" t="s">
        <v>290</v>
      </c>
      <c r="I1" s="110" t="s">
        <v>289</v>
      </c>
      <c r="J1" s="110" t="s">
        <v>288</v>
      </c>
      <c r="K1" s="110" t="s">
        <v>287</v>
      </c>
      <c r="L1" s="110" t="s">
        <v>286</v>
      </c>
      <c r="M1" s="110" t="s">
        <v>285</v>
      </c>
      <c r="N1" s="110" t="s">
        <v>284</v>
      </c>
      <c r="O1" s="110" t="s">
        <v>283</v>
      </c>
      <c r="P1" s="110" t="s">
        <v>282</v>
      </c>
      <c r="Q1" s="110" t="s">
        <v>281</v>
      </c>
      <c r="R1" s="110" t="s">
        <v>280</v>
      </c>
      <c r="S1" s="110" t="s">
        <v>279</v>
      </c>
      <c r="T1" s="110" t="s">
        <v>278</v>
      </c>
      <c r="U1" s="110" t="s">
        <v>277</v>
      </c>
      <c r="V1" s="110" t="s">
        <v>276</v>
      </c>
      <c r="W1" s="110" t="s">
        <v>275</v>
      </c>
      <c r="X1" s="110" t="s">
        <v>274</v>
      </c>
      <c r="Y1" s="110" t="s">
        <v>273</v>
      </c>
      <c r="Z1" s="110" t="s">
        <v>272</v>
      </c>
      <c r="AA1" s="110" t="s">
        <v>271</v>
      </c>
      <c r="AB1" s="110" t="s">
        <v>270</v>
      </c>
      <c r="AC1" s="110" t="s">
        <v>269</v>
      </c>
      <c r="AD1" s="110" t="s">
        <v>268</v>
      </c>
      <c r="AE1" s="110" t="s">
        <v>267</v>
      </c>
      <c r="AF1" s="110" t="s">
        <v>266</v>
      </c>
      <c r="AG1" s="110" t="s">
        <v>265</v>
      </c>
      <c r="AH1" s="109" t="s">
        <v>264</v>
      </c>
      <c r="AI1" s="109" t="s">
        <v>263</v>
      </c>
      <c r="AJ1" s="109" t="s">
        <v>262</v>
      </c>
      <c r="AK1" s="109" t="s">
        <v>261</v>
      </c>
      <c r="AL1" s="110" t="s">
        <v>260</v>
      </c>
      <c r="AM1" s="110" t="s">
        <v>259</v>
      </c>
      <c r="AN1" s="110" t="s">
        <v>258</v>
      </c>
      <c r="AO1" s="110" t="s">
        <v>257</v>
      </c>
      <c r="AP1" s="109" t="s">
        <v>256</v>
      </c>
      <c r="AQ1" s="113" t="s">
        <v>255</v>
      </c>
      <c r="AR1" s="110" t="s">
        <v>254</v>
      </c>
      <c r="AS1" s="110" t="s">
        <v>253</v>
      </c>
      <c r="AT1" s="110" t="s">
        <v>252</v>
      </c>
      <c r="AU1" s="109" t="s">
        <v>251</v>
      </c>
      <c r="AV1" s="113" t="s">
        <v>250</v>
      </c>
      <c r="AW1" s="110" t="s">
        <v>249</v>
      </c>
      <c r="AX1" s="109" t="s">
        <v>248</v>
      </c>
      <c r="AY1" s="110" t="s">
        <v>247</v>
      </c>
      <c r="AZ1" s="110" t="s">
        <v>246</v>
      </c>
      <c r="BA1" s="110" t="s">
        <v>245</v>
      </c>
      <c r="BB1" s="109" t="s">
        <v>244</v>
      </c>
      <c r="BC1" s="109" t="s">
        <v>243</v>
      </c>
      <c r="BD1" s="109" t="s">
        <v>242</v>
      </c>
      <c r="BE1" s="112" t="s">
        <v>241</v>
      </c>
      <c r="BF1" s="112" t="s">
        <v>240</v>
      </c>
      <c r="BG1" s="112" t="s">
        <v>239</v>
      </c>
      <c r="BH1" s="109" t="s">
        <v>238</v>
      </c>
      <c r="BI1" s="112" t="s">
        <v>237</v>
      </c>
      <c r="BJ1" s="109" t="s">
        <v>236</v>
      </c>
      <c r="BK1" s="109" t="s">
        <v>235</v>
      </c>
      <c r="BL1" s="109" t="s">
        <v>234</v>
      </c>
      <c r="BM1" s="109" t="s">
        <v>233</v>
      </c>
      <c r="BN1" s="109" t="s">
        <v>232</v>
      </c>
      <c r="BO1" s="109" t="s">
        <v>231</v>
      </c>
      <c r="BP1" s="110" t="s">
        <v>230</v>
      </c>
      <c r="BQ1" s="110" t="s">
        <v>229</v>
      </c>
      <c r="BR1" s="110" t="s">
        <v>228</v>
      </c>
      <c r="BS1" s="110" t="s">
        <v>227</v>
      </c>
      <c r="BT1" s="110" t="s">
        <v>226</v>
      </c>
      <c r="BU1" s="110" t="s">
        <v>225</v>
      </c>
      <c r="BV1" s="110" t="s">
        <v>224</v>
      </c>
      <c r="BW1" s="110" t="s">
        <v>223</v>
      </c>
      <c r="BX1" s="110" t="s">
        <v>222</v>
      </c>
      <c r="BY1" s="110" t="s">
        <v>221</v>
      </c>
      <c r="BZ1" s="110" t="s">
        <v>220</v>
      </c>
      <c r="CA1" s="110" t="s">
        <v>219</v>
      </c>
      <c r="CB1" s="110" t="s">
        <v>218</v>
      </c>
      <c r="CC1" s="110" t="s">
        <v>217</v>
      </c>
      <c r="CD1" s="110" t="s">
        <v>216</v>
      </c>
      <c r="CE1" s="110" t="s">
        <v>215</v>
      </c>
      <c r="CF1" s="109" t="s">
        <v>214</v>
      </c>
      <c r="CG1" s="109" t="s">
        <v>213</v>
      </c>
      <c r="CH1" s="110" t="s">
        <v>212</v>
      </c>
      <c r="CI1" s="109" t="s">
        <v>211</v>
      </c>
      <c r="CJ1" s="110" t="s">
        <v>210</v>
      </c>
      <c r="CK1" s="110" t="s">
        <v>209</v>
      </c>
      <c r="CL1" s="110" t="s">
        <v>208</v>
      </c>
      <c r="CM1" s="110" t="s">
        <v>207</v>
      </c>
      <c r="CN1" s="110" t="s">
        <v>206</v>
      </c>
      <c r="CO1" s="110" t="s">
        <v>205</v>
      </c>
      <c r="CP1" s="110" t="s">
        <v>204</v>
      </c>
      <c r="CQ1" s="110" t="s">
        <v>203</v>
      </c>
      <c r="CR1" s="110" t="s">
        <v>202</v>
      </c>
      <c r="CS1" s="110" t="s">
        <v>201</v>
      </c>
      <c r="CT1" s="110" t="s">
        <v>200</v>
      </c>
      <c r="CU1" s="110" t="s">
        <v>199</v>
      </c>
      <c r="CV1" s="110" t="s">
        <v>198</v>
      </c>
      <c r="CW1" s="110" t="s">
        <v>197</v>
      </c>
      <c r="CX1" s="110" t="s">
        <v>196</v>
      </c>
      <c r="CY1" s="110" t="s">
        <v>195</v>
      </c>
      <c r="CZ1" s="110" t="s">
        <v>194</v>
      </c>
      <c r="DA1" s="110" t="s">
        <v>193</v>
      </c>
      <c r="DB1" s="110" t="s">
        <v>192</v>
      </c>
      <c r="DC1" s="110" t="s">
        <v>191</v>
      </c>
      <c r="DD1" s="110" t="s">
        <v>190</v>
      </c>
      <c r="DE1" s="110" t="s">
        <v>189</v>
      </c>
      <c r="DF1" s="110" t="s">
        <v>188</v>
      </c>
      <c r="DG1" s="110" t="s">
        <v>187</v>
      </c>
      <c r="DH1" s="110" t="s">
        <v>186</v>
      </c>
      <c r="DI1" s="110" t="s">
        <v>185</v>
      </c>
      <c r="DJ1" s="110" t="s">
        <v>184</v>
      </c>
      <c r="DK1" s="110" t="s">
        <v>183</v>
      </c>
      <c r="DL1" s="110" t="s">
        <v>182</v>
      </c>
      <c r="DM1" s="110" t="s">
        <v>181</v>
      </c>
      <c r="DN1" s="110" t="s">
        <v>180</v>
      </c>
      <c r="DO1" s="110" t="s">
        <v>179</v>
      </c>
      <c r="DP1" s="110" t="s">
        <v>178</v>
      </c>
      <c r="DQ1" s="111" t="s">
        <v>177</v>
      </c>
      <c r="DR1" s="111" t="s">
        <v>176</v>
      </c>
      <c r="DS1" s="111" t="s">
        <v>175</v>
      </c>
      <c r="DT1" s="111" t="s">
        <v>174</v>
      </c>
      <c r="DU1" s="111" t="s">
        <v>173</v>
      </c>
      <c r="DV1" s="111" t="s">
        <v>172</v>
      </c>
      <c r="DW1" s="111" t="s">
        <v>171</v>
      </c>
      <c r="DX1" s="111" t="s">
        <v>170</v>
      </c>
      <c r="DY1" s="111" t="s">
        <v>169</v>
      </c>
      <c r="DZ1" s="111" t="s">
        <v>168</v>
      </c>
      <c r="EA1" s="111" t="s">
        <v>167</v>
      </c>
      <c r="EB1" s="111" t="s">
        <v>166</v>
      </c>
      <c r="EC1" s="111" t="s">
        <v>165</v>
      </c>
      <c r="ED1" s="111" t="s">
        <v>164</v>
      </c>
      <c r="EE1" s="111" t="s">
        <v>163</v>
      </c>
      <c r="EF1" s="111" t="s">
        <v>162</v>
      </c>
      <c r="EG1" s="111" t="s">
        <v>161</v>
      </c>
      <c r="EH1" s="111" t="s">
        <v>160</v>
      </c>
      <c r="EI1" s="111" t="s">
        <v>159</v>
      </c>
      <c r="EJ1" s="111" t="s">
        <v>158</v>
      </c>
      <c r="EK1" s="111" t="s">
        <v>157</v>
      </c>
      <c r="EL1" s="111" t="s">
        <v>156</v>
      </c>
      <c r="EM1" s="111" t="s">
        <v>155</v>
      </c>
      <c r="EN1" s="111" t="s">
        <v>154</v>
      </c>
      <c r="EO1" s="111" t="s">
        <v>153</v>
      </c>
      <c r="EP1" s="111" t="s">
        <v>152</v>
      </c>
      <c r="EQ1" s="111" t="s">
        <v>151</v>
      </c>
      <c r="ER1" s="109" t="s">
        <v>150</v>
      </c>
      <c r="ES1" s="110" t="s">
        <v>149</v>
      </c>
      <c r="ET1" s="110" t="s">
        <v>148</v>
      </c>
      <c r="EU1" s="110" t="s">
        <v>147</v>
      </c>
      <c r="EV1" s="109" t="s">
        <v>146</v>
      </c>
      <c r="EW1" s="109" t="s">
        <v>145</v>
      </c>
      <c r="EX1" s="109" t="s">
        <v>144</v>
      </c>
      <c r="EY1" s="109" t="s">
        <v>143</v>
      </c>
      <c r="EZ1" s="110" t="s">
        <v>142</v>
      </c>
      <c r="FA1" s="110" t="s">
        <v>141</v>
      </c>
      <c r="FB1" s="110" t="s">
        <v>140</v>
      </c>
      <c r="FC1" s="110" t="s">
        <v>139</v>
      </c>
      <c r="FD1" s="110" t="s">
        <v>138</v>
      </c>
      <c r="FE1" s="110" t="s">
        <v>137</v>
      </c>
      <c r="FF1" s="110" t="s">
        <v>136</v>
      </c>
      <c r="FG1" s="110" t="s">
        <v>135</v>
      </c>
      <c r="FH1" s="110" t="s">
        <v>134</v>
      </c>
      <c r="FI1" s="110" t="s">
        <v>133</v>
      </c>
      <c r="FJ1" s="110" t="s">
        <v>132</v>
      </c>
      <c r="FK1" s="110" t="s">
        <v>131</v>
      </c>
      <c r="FL1" s="110" t="s">
        <v>130</v>
      </c>
      <c r="FM1" s="110" t="s">
        <v>129</v>
      </c>
      <c r="FN1" s="110" t="s">
        <v>128</v>
      </c>
      <c r="FO1" s="110" t="s">
        <v>127</v>
      </c>
      <c r="FP1" s="110" t="s">
        <v>126</v>
      </c>
      <c r="FQ1" s="110" t="s">
        <v>125</v>
      </c>
      <c r="FR1" s="110" t="s">
        <v>124</v>
      </c>
      <c r="FS1" s="110" t="s">
        <v>123</v>
      </c>
      <c r="FT1" s="110" t="s">
        <v>122</v>
      </c>
      <c r="FU1" s="110" t="s">
        <v>121</v>
      </c>
      <c r="FV1" s="110" t="s">
        <v>120</v>
      </c>
      <c r="FW1" s="110" t="s">
        <v>119</v>
      </c>
      <c r="FX1" s="110" t="s">
        <v>118</v>
      </c>
      <c r="FY1" s="110" t="s">
        <v>117</v>
      </c>
      <c r="FZ1" s="110" t="s">
        <v>116</v>
      </c>
      <c r="GA1" s="110" t="s">
        <v>115</v>
      </c>
      <c r="GB1" s="110" t="s">
        <v>114</v>
      </c>
      <c r="GC1" s="110" t="s">
        <v>113</v>
      </c>
      <c r="GD1" s="110" t="s">
        <v>112</v>
      </c>
      <c r="GE1" s="110" t="s">
        <v>111</v>
      </c>
      <c r="GF1" s="110" t="s">
        <v>110</v>
      </c>
      <c r="GG1" s="111" t="s">
        <v>109</v>
      </c>
      <c r="GH1" s="111" t="s">
        <v>108</v>
      </c>
      <c r="GI1" s="111" t="s">
        <v>107</v>
      </c>
      <c r="GJ1" s="111" t="s">
        <v>106</v>
      </c>
      <c r="GK1" s="111" t="s">
        <v>105</v>
      </c>
      <c r="GL1" s="111" t="s">
        <v>104</v>
      </c>
      <c r="GM1" s="111" t="s">
        <v>103</v>
      </c>
      <c r="GN1" s="111" t="s">
        <v>102</v>
      </c>
      <c r="GO1" s="111" t="s">
        <v>101</v>
      </c>
      <c r="GP1" s="111" t="s">
        <v>100</v>
      </c>
      <c r="GQ1" s="111" t="s">
        <v>99</v>
      </c>
      <c r="GR1" s="111" t="s">
        <v>98</v>
      </c>
      <c r="GS1" s="111" t="s">
        <v>97</v>
      </c>
      <c r="GT1" s="111" t="s">
        <v>96</v>
      </c>
      <c r="GU1" s="111" t="s">
        <v>95</v>
      </c>
      <c r="GV1" s="111" t="s">
        <v>94</v>
      </c>
      <c r="GW1" s="111" t="s">
        <v>93</v>
      </c>
      <c r="GX1" s="111" t="s">
        <v>92</v>
      </c>
      <c r="GY1" s="111" t="s">
        <v>91</v>
      </c>
      <c r="GZ1" s="111" t="s">
        <v>90</v>
      </c>
      <c r="HA1" s="111" t="s">
        <v>89</v>
      </c>
      <c r="HB1" s="111" t="s">
        <v>88</v>
      </c>
      <c r="HC1" s="111" t="s">
        <v>87</v>
      </c>
      <c r="HD1" s="111" t="s">
        <v>86</v>
      </c>
      <c r="HE1" s="111" t="s">
        <v>85</v>
      </c>
      <c r="HF1" s="111" t="s">
        <v>84</v>
      </c>
      <c r="HG1" s="111" t="s">
        <v>83</v>
      </c>
      <c r="HH1" s="111" t="s">
        <v>82</v>
      </c>
      <c r="HI1" s="111" t="s">
        <v>81</v>
      </c>
      <c r="HJ1" s="110" t="s">
        <v>80</v>
      </c>
      <c r="HK1" s="110" t="s">
        <v>79</v>
      </c>
      <c r="HL1" s="110" t="s">
        <v>78</v>
      </c>
      <c r="HM1" s="110" t="s">
        <v>77</v>
      </c>
      <c r="HN1" s="110"/>
    </row>
    <row r="2" spans="1:222" s="98" customFormat="1" x14ac:dyDescent="0.25">
      <c r="A2" s="97"/>
      <c r="B2" s="97"/>
      <c r="C2" s="97"/>
      <c r="D2" s="97"/>
      <c r="E2" s="97"/>
      <c r="F2" s="97"/>
      <c r="G2" s="97"/>
      <c r="H2" s="97"/>
      <c r="I2" s="97"/>
      <c r="J2" s="108"/>
      <c r="K2" s="108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L2" s="97"/>
      <c r="AM2" s="97"/>
      <c r="AN2" s="97"/>
      <c r="AO2" s="97"/>
      <c r="AQ2" s="101"/>
      <c r="AR2" s="103"/>
      <c r="AS2" s="103"/>
      <c r="AT2" s="103"/>
      <c r="AV2" s="101"/>
      <c r="AW2" s="103"/>
      <c r="AX2" s="103"/>
      <c r="AY2" s="103"/>
      <c r="AZ2" s="103"/>
      <c r="BA2" s="97"/>
      <c r="BB2" s="99"/>
      <c r="BC2" s="108"/>
      <c r="BD2" s="108"/>
      <c r="BE2" s="97"/>
      <c r="BF2" s="97"/>
      <c r="BG2" s="97"/>
      <c r="BH2" s="101"/>
      <c r="BI2" s="97"/>
      <c r="BJ2" s="97"/>
      <c r="BK2" s="97"/>
      <c r="BL2" s="97"/>
      <c r="BM2" s="97"/>
      <c r="BN2" s="97"/>
      <c r="BP2" s="97"/>
      <c r="BQ2" s="97"/>
      <c r="BR2" s="97"/>
      <c r="BS2" s="97"/>
      <c r="BT2" s="99"/>
      <c r="BU2" s="99"/>
      <c r="BV2" s="99"/>
      <c r="BW2" s="99"/>
      <c r="BX2" s="97"/>
      <c r="BY2" s="97"/>
      <c r="BZ2" s="97"/>
      <c r="CA2" s="97"/>
      <c r="CB2" s="103"/>
      <c r="CC2" s="103"/>
      <c r="CD2" s="103"/>
      <c r="CE2" s="103"/>
      <c r="CF2" s="107"/>
      <c r="CG2" s="107"/>
      <c r="CH2" s="105"/>
      <c r="CI2" s="106"/>
      <c r="CJ2" s="105"/>
      <c r="CK2" s="104"/>
      <c r="CL2" s="97"/>
      <c r="CM2" s="97"/>
      <c r="CN2" s="97"/>
      <c r="CO2" s="97"/>
      <c r="CP2" s="97"/>
      <c r="CQ2" s="103"/>
      <c r="CR2" s="103"/>
      <c r="CS2" s="97"/>
      <c r="CT2" s="103"/>
      <c r="CU2" s="103"/>
      <c r="CV2" s="97"/>
      <c r="CW2" s="97"/>
      <c r="CX2" s="102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100"/>
      <c r="EQ2" s="99"/>
      <c r="ER2" s="101"/>
      <c r="ES2" s="97"/>
      <c r="ET2" s="97"/>
      <c r="EU2" s="97"/>
      <c r="EW2" s="101"/>
      <c r="EY2" s="101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100"/>
      <c r="HI2" s="99"/>
      <c r="HJ2" s="97"/>
      <c r="HK2" s="97"/>
      <c r="HL2" s="97"/>
      <c r="HM2" s="97"/>
      <c r="HN2" s="99"/>
    </row>
  </sheetData>
  <autoFilter ref="A1:HN2" xr:uid="{421B9714-944D-4B2C-B525-6D3C04EAC74D}"/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HN2"/>
  <sheetViews>
    <sheetView zoomScaleNormal="100" workbookViewId="0"/>
  </sheetViews>
  <sheetFormatPr baseColWidth="10" defaultColWidth="11.42578125" defaultRowHeight="15" x14ac:dyDescent="0.25"/>
  <cols>
    <col min="1" max="1" width="29.42578125" style="45" customWidth="1"/>
    <col min="2" max="3" width="46.5703125" style="45" customWidth="1"/>
    <col min="4" max="5" width="10.7109375" style="45" customWidth="1"/>
    <col min="6" max="7" width="14.85546875" style="45" customWidth="1"/>
    <col min="8" max="8" width="22.28515625" style="45" bestFit="1" customWidth="1"/>
    <col min="9" max="9" width="12.7109375" style="45" bestFit="1" customWidth="1"/>
    <col min="10" max="10" width="27.140625" style="45" bestFit="1" customWidth="1"/>
    <col min="11" max="11" width="22.140625" style="45" bestFit="1" customWidth="1"/>
    <col min="12" max="12" width="32" style="45" customWidth="1"/>
    <col min="13" max="13" width="20.28515625" style="45" customWidth="1"/>
    <col min="14" max="14" width="11.42578125" style="45" customWidth="1"/>
    <col min="15" max="15" width="22.7109375" style="45" customWidth="1"/>
    <col min="16" max="16" width="32" style="45" customWidth="1"/>
    <col min="17" max="17" width="20.28515625" style="45" customWidth="1"/>
    <col min="18" max="18" width="11.42578125" style="45" customWidth="1"/>
    <col min="19" max="19" width="22.7109375" style="45" customWidth="1"/>
    <col min="20" max="20" width="17.140625" style="45" customWidth="1"/>
    <col min="21" max="21" width="15.140625" style="45" customWidth="1"/>
    <col min="22" max="22" width="15.7109375" style="45" customWidth="1"/>
    <col min="23" max="23" width="18.140625" style="45" customWidth="1"/>
    <col min="24" max="27" width="17.140625" style="45" customWidth="1"/>
    <col min="28" max="32" width="11.5703125" style="45" customWidth="1"/>
    <col min="33" max="33" width="15.5703125" style="45" customWidth="1"/>
    <col min="34" max="34" width="21.28515625" customWidth="1"/>
    <col min="35" max="35" width="34.140625" customWidth="1"/>
    <col min="36" max="36" width="40" customWidth="1"/>
    <col min="37" max="37" width="38.7109375" customWidth="1"/>
    <col min="38" max="41" width="22.28515625" style="45" customWidth="1"/>
    <col min="42" max="42" width="26.5703125" customWidth="1"/>
    <col min="43" max="43" width="55.28515625" style="1" customWidth="1"/>
    <col min="44" max="44" width="26" style="92" customWidth="1"/>
    <col min="45" max="45" width="23.7109375" customWidth="1"/>
    <col min="46" max="46" width="24.140625" style="45" customWidth="1"/>
    <col min="47" max="47" width="26.5703125" customWidth="1"/>
    <col min="48" max="48" width="55.28515625" style="1" customWidth="1"/>
    <col min="49" max="49" width="26" style="45" customWidth="1"/>
    <col min="50" max="50" width="23.7109375" customWidth="1"/>
    <col min="51" max="51" width="24.140625" style="45" customWidth="1"/>
    <col min="52" max="52" width="13.5703125" style="92" customWidth="1"/>
    <col min="53" max="53" width="13.7109375" style="45" customWidth="1"/>
    <col min="54" max="54" width="16.7109375" customWidth="1"/>
    <col min="55" max="56" width="23.5703125" customWidth="1"/>
    <col min="57" max="59" width="25.7109375" style="97" customWidth="1"/>
    <col min="60" max="60" width="39.140625" customWidth="1"/>
    <col min="61" max="61" width="14.5703125" style="97" customWidth="1"/>
    <col min="62" max="63" width="15.28515625" customWidth="1"/>
    <col min="64" max="64" width="15.42578125" customWidth="1"/>
    <col min="65" max="65" width="14.5703125" customWidth="1"/>
    <col min="66" max="66" width="16.85546875" customWidth="1"/>
    <col min="67" max="67" width="14.85546875" customWidth="1"/>
    <col min="68" max="71" width="16.28515625" style="45" customWidth="1"/>
    <col min="72" max="74" width="12.28515625" style="89" customWidth="1"/>
    <col min="75" max="75" width="16.7109375" style="89" customWidth="1"/>
    <col min="76" max="77" width="15" style="45" customWidth="1"/>
    <col min="78" max="79" width="17.5703125" style="45" customWidth="1"/>
    <col min="80" max="80" width="16.7109375" style="92" customWidth="1"/>
    <col min="81" max="82" width="14.85546875" style="92" customWidth="1"/>
    <col min="83" max="83" width="13.42578125" style="92" customWidth="1"/>
    <col min="84" max="84" width="22" style="96" customWidth="1"/>
    <col min="85" max="85" width="47.28515625" style="96" customWidth="1"/>
    <col min="86" max="86" width="19.140625" style="94" customWidth="1"/>
    <col min="87" max="87" width="47.28515625" style="95" customWidth="1"/>
    <col min="88" max="88" width="24.42578125" style="94" customWidth="1"/>
    <col min="89" max="89" width="24.42578125" style="93" customWidth="1"/>
    <col min="90" max="90" width="24.42578125" style="45" customWidth="1"/>
    <col min="91" max="91" width="23.7109375" style="45" bestFit="1" customWidth="1"/>
    <col min="92" max="93" width="24.7109375" style="45" bestFit="1" customWidth="1"/>
    <col min="94" max="94" width="23.7109375" style="45" bestFit="1" customWidth="1"/>
    <col min="95" max="96" width="23.7109375" style="92" bestFit="1" customWidth="1"/>
    <col min="97" max="97" width="24.7109375" style="45" bestFit="1" customWidth="1"/>
    <col min="98" max="99" width="24.7109375" style="92" bestFit="1" customWidth="1"/>
    <col min="100" max="100" width="24.28515625" style="45" bestFit="1" customWidth="1"/>
    <col min="101" max="101" width="25.28515625" style="45" bestFit="1" customWidth="1"/>
    <col min="102" max="102" width="26.42578125" style="91" bestFit="1" customWidth="1"/>
    <col min="103" max="108" width="26.42578125" style="45" bestFit="1" customWidth="1"/>
    <col min="109" max="110" width="19" style="45" bestFit="1" customWidth="1"/>
    <col min="111" max="111" width="17.42578125" style="45" bestFit="1" customWidth="1"/>
    <col min="112" max="112" width="19" style="45" bestFit="1" customWidth="1"/>
    <col min="113" max="115" width="20" style="45" bestFit="1" customWidth="1"/>
    <col min="116" max="119" width="18.42578125" style="45" bestFit="1" customWidth="1"/>
    <col min="120" max="120" width="19.42578125" style="45" bestFit="1" customWidth="1"/>
    <col min="121" max="121" width="17.28515625" style="89" bestFit="1" customWidth="1"/>
    <col min="122" max="122" width="17" style="89" bestFit="1" customWidth="1"/>
    <col min="123" max="123" width="17.5703125" style="89" bestFit="1" customWidth="1"/>
    <col min="124" max="124" width="18.42578125" style="89" bestFit="1" customWidth="1"/>
    <col min="125" max="125" width="18.140625" style="89" bestFit="1" customWidth="1"/>
    <col min="126" max="126" width="18.7109375" style="89" bestFit="1" customWidth="1"/>
    <col min="127" max="127" width="16.5703125" style="89" bestFit="1" customWidth="1"/>
    <col min="128" max="128" width="16.28515625" style="89" bestFit="1" customWidth="1"/>
    <col min="129" max="129" width="16.85546875" style="89" bestFit="1" customWidth="1"/>
    <col min="130" max="130" width="15.5703125" style="89" bestFit="1" customWidth="1"/>
    <col min="131" max="131" width="15.28515625" style="89" bestFit="1" customWidth="1"/>
    <col min="132" max="132" width="15.85546875" style="89" bestFit="1" customWidth="1"/>
    <col min="133" max="133" width="20" style="89" bestFit="1" customWidth="1"/>
    <col min="134" max="134" width="19.7109375" style="89" bestFit="1" customWidth="1"/>
    <col min="135" max="135" width="20.28515625" style="89" bestFit="1" customWidth="1"/>
    <col min="136" max="136" width="16.5703125" style="89" bestFit="1" customWidth="1"/>
    <col min="137" max="137" width="16.28515625" style="89" bestFit="1" customWidth="1"/>
    <col min="138" max="139" width="16.85546875" style="89" bestFit="1" customWidth="1"/>
    <col min="140" max="140" width="16.5703125" style="89" bestFit="1" customWidth="1"/>
    <col min="141" max="141" width="17.140625" style="89" bestFit="1" customWidth="1"/>
    <col min="142" max="142" width="16.28515625" style="89" bestFit="1" customWidth="1"/>
    <col min="143" max="143" width="15.85546875" style="89" bestFit="1" customWidth="1"/>
    <col min="144" max="144" width="16.5703125" style="89" bestFit="1" customWidth="1"/>
    <col min="145" max="145" width="20" style="89" bestFit="1" customWidth="1"/>
    <col min="146" max="146" width="19.7109375" style="90" bestFit="1" customWidth="1"/>
    <col min="147" max="147" width="20.28515625" style="89" bestFit="1" customWidth="1"/>
    <col min="148" max="148" width="61.85546875" customWidth="1"/>
    <col min="149" max="149" width="19" style="45" bestFit="1" customWidth="1"/>
    <col min="150" max="151" width="21.28515625" style="45" customWidth="1"/>
    <col min="152" max="152" width="24.42578125" customWidth="1"/>
    <col min="153" max="153" width="57.140625" customWidth="1"/>
    <col min="154" max="154" width="20.42578125" customWidth="1"/>
    <col min="155" max="155" width="57.140625" customWidth="1"/>
    <col min="156" max="156" width="22.5703125" style="45" bestFit="1" customWidth="1"/>
    <col min="157" max="157" width="23.140625" style="45" bestFit="1" customWidth="1"/>
    <col min="158" max="158" width="17.85546875" style="45" bestFit="1" customWidth="1"/>
    <col min="159" max="159" width="26.140625" style="45" bestFit="1" customWidth="1"/>
    <col min="160" max="161" width="27.28515625" style="45" bestFit="1" customWidth="1"/>
    <col min="162" max="164" width="26.140625" style="45" bestFit="1" customWidth="1"/>
    <col min="165" max="167" width="27.28515625" style="45" bestFit="1" customWidth="1"/>
    <col min="168" max="168" width="26.85546875" style="45" bestFit="1" customWidth="1"/>
    <col min="169" max="169" width="27.85546875" style="45" bestFit="1" customWidth="1"/>
    <col min="170" max="176" width="28.85546875" style="45" bestFit="1" customWidth="1"/>
    <col min="177" max="178" width="21.5703125" style="45" bestFit="1" customWidth="1"/>
    <col min="179" max="179" width="19.85546875" style="45" bestFit="1" customWidth="1"/>
    <col min="180" max="180" width="21.5703125" style="45" bestFit="1" customWidth="1"/>
    <col min="181" max="183" width="22.5703125" style="45" bestFit="1" customWidth="1"/>
    <col min="184" max="187" width="20.85546875" style="45" bestFit="1" customWidth="1"/>
    <col min="188" max="188" width="22" style="45" bestFit="1" customWidth="1"/>
    <col min="189" max="189" width="19.7109375" style="89" bestFit="1" customWidth="1"/>
    <col min="190" max="190" width="19.42578125" style="89" bestFit="1" customWidth="1"/>
    <col min="191" max="191" width="20" style="89" bestFit="1" customWidth="1"/>
    <col min="192" max="192" width="20.85546875" style="89" bestFit="1" customWidth="1"/>
    <col min="193" max="193" width="20.5703125" style="89" customWidth="1"/>
    <col min="194" max="194" width="21.28515625" style="89" bestFit="1" customWidth="1"/>
    <col min="195" max="195" width="19" style="89" bestFit="1" customWidth="1"/>
    <col min="196" max="196" width="18.7109375" style="89" bestFit="1" customWidth="1"/>
    <col min="197" max="197" width="19.28515625" style="89" bestFit="1" customWidth="1"/>
    <col min="198" max="198" width="18.140625" style="89" bestFit="1" customWidth="1"/>
    <col min="199" max="199" width="17.85546875" style="89" bestFit="1" customWidth="1"/>
    <col min="200" max="200" width="18.42578125" style="89" bestFit="1" customWidth="1"/>
    <col min="201" max="201" width="22.5703125" style="89" bestFit="1" customWidth="1"/>
    <col min="202" max="202" width="22.28515625" style="89" bestFit="1" customWidth="1"/>
    <col min="203" max="203" width="22.85546875" style="89" bestFit="1" customWidth="1"/>
    <col min="204" max="204" width="19" style="89" bestFit="1" customWidth="1"/>
    <col min="205" max="205" width="18.7109375" style="89" bestFit="1" customWidth="1"/>
    <col min="206" max="207" width="19.28515625" style="89" bestFit="1" customWidth="1"/>
    <col min="208" max="208" width="19" style="89" bestFit="1" customWidth="1"/>
    <col min="209" max="209" width="19.5703125" style="89" bestFit="1" customWidth="1"/>
    <col min="210" max="210" width="18.7109375" style="89" bestFit="1" customWidth="1"/>
    <col min="211" max="211" width="18.42578125" style="89" bestFit="1" customWidth="1"/>
    <col min="212" max="212" width="19" style="89" bestFit="1" customWidth="1"/>
    <col min="213" max="213" width="22.5703125" style="89" bestFit="1" customWidth="1"/>
    <col min="214" max="214" width="22.28515625" style="89" bestFit="1" customWidth="1"/>
    <col min="215" max="215" width="22.85546875" style="89" bestFit="1" customWidth="1"/>
    <col min="216" max="216" width="76.140625" style="89" customWidth="1"/>
    <col min="217" max="217" width="21.5703125" style="89" bestFit="1" customWidth="1"/>
    <col min="218" max="218" width="19.85546875" style="45" bestFit="1" customWidth="1"/>
    <col min="219" max="219" width="18.28515625" style="45" bestFit="1" customWidth="1"/>
    <col min="220" max="221" width="25.5703125" style="45" customWidth="1"/>
    <col min="222" max="222" width="22.7109375" customWidth="1"/>
  </cols>
  <sheetData>
    <row r="1" spans="1:222" s="109" customFormat="1" x14ac:dyDescent="0.25">
      <c r="A1" s="110" t="s">
        <v>297</v>
      </c>
      <c r="B1" s="110" t="s">
        <v>296</v>
      </c>
      <c r="C1" s="110" t="s">
        <v>295</v>
      </c>
      <c r="D1" s="110" t="s">
        <v>294</v>
      </c>
      <c r="E1" s="110" t="s">
        <v>293</v>
      </c>
      <c r="F1" s="110" t="s">
        <v>292</v>
      </c>
      <c r="G1" s="110" t="s">
        <v>291</v>
      </c>
      <c r="H1" s="110" t="s">
        <v>290</v>
      </c>
      <c r="I1" s="110" t="s">
        <v>289</v>
      </c>
      <c r="J1" s="110" t="s">
        <v>288</v>
      </c>
      <c r="K1" s="110" t="s">
        <v>287</v>
      </c>
      <c r="L1" s="110" t="s">
        <v>286</v>
      </c>
      <c r="M1" s="110" t="s">
        <v>285</v>
      </c>
      <c r="N1" s="110" t="s">
        <v>284</v>
      </c>
      <c r="O1" s="110" t="s">
        <v>283</v>
      </c>
      <c r="P1" s="110" t="s">
        <v>282</v>
      </c>
      <c r="Q1" s="110" t="s">
        <v>281</v>
      </c>
      <c r="R1" s="110" t="s">
        <v>280</v>
      </c>
      <c r="S1" s="110" t="s">
        <v>279</v>
      </c>
      <c r="T1" s="110" t="s">
        <v>278</v>
      </c>
      <c r="U1" s="110" t="s">
        <v>277</v>
      </c>
      <c r="V1" s="110" t="s">
        <v>276</v>
      </c>
      <c r="W1" s="110" t="s">
        <v>275</v>
      </c>
      <c r="X1" s="110" t="s">
        <v>274</v>
      </c>
      <c r="Y1" s="110" t="s">
        <v>273</v>
      </c>
      <c r="Z1" s="110" t="s">
        <v>272</v>
      </c>
      <c r="AA1" s="110" t="s">
        <v>271</v>
      </c>
      <c r="AB1" s="110" t="s">
        <v>270</v>
      </c>
      <c r="AC1" s="110" t="s">
        <v>269</v>
      </c>
      <c r="AD1" s="110" t="s">
        <v>268</v>
      </c>
      <c r="AE1" s="110" t="s">
        <v>267</v>
      </c>
      <c r="AF1" s="110" t="s">
        <v>266</v>
      </c>
      <c r="AG1" s="110" t="s">
        <v>265</v>
      </c>
      <c r="AH1" s="109" t="s">
        <v>264</v>
      </c>
      <c r="AI1" s="109" t="s">
        <v>263</v>
      </c>
      <c r="AJ1" s="109" t="s">
        <v>262</v>
      </c>
      <c r="AK1" s="109" t="s">
        <v>261</v>
      </c>
      <c r="AL1" s="110" t="s">
        <v>260</v>
      </c>
      <c r="AM1" s="110" t="s">
        <v>259</v>
      </c>
      <c r="AN1" s="110" t="s">
        <v>258</v>
      </c>
      <c r="AO1" s="110" t="s">
        <v>257</v>
      </c>
      <c r="AP1" s="109" t="s">
        <v>256</v>
      </c>
      <c r="AQ1" s="113" t="s">
        <v>255</v>
      </c>
      <c r="AR1" s="110" t="s">
        <v>254</v>
      </c>
      <c r="AS1" s="110" t="s">
        <v>253</v>
      </c>
      <c r="AT1" s="110" t="s">
        <v>252</v>
      </c>
      <c r="AU1" s="109" t="s">
        <v>251</v>
      </c>
      <c r="AV1" s="113" t="s">
        <v>250</v>
      </c>
      <c r="AW1" s="110" t="s">
        <v>249</v>
      </c>
      <c r="AX1" s="109" t="s">
        <v>248</v>
      </c>
      <c r="AY1" s="110" t="s">
        <v>247</v>
      </c>
      <c r="AZ1" s="110" t="s">
        <v>246</v>
      </c>
      <c r="BA1" s="110" t="s">
        <v>245</v>
      </c>
      <c r="BB1" s="109" t="s">
        <v>244</v>
      </c>
      <c r="BC1" s="109" t="s">
        <v>243</v>
      </c>
      <c r="BD1" s="109" t="s">
        <v>242</v>
      </c>
      <c r="BE1" s="112" t="s">
        <v>241</v>
      </c>
      <c r="BF1" s="112" t="s">
        <v>240</v>
      </c>
      <c r="BG1" s="112" t="s">
        <v>239</v>
      </c>
      <c r="BH1" s="109" t="s">
        <v>238</v>
      </c>
      <c r="BI1" s="112" t="s">
        <v>237</v>
      </c>
      <c r="BJ1" s="109" t="s">
        <v>236</v>
      </c>
      <c r="BK1" s="109" t="s">
        <v>235</v>
      </c>
      <c r="BL1" s="109" t="s">
        <v>234</v>
      </c>
      <c r="BM1" s="109" t="s">
        <v>233</v>
      </c>
      <c r="BN1" s="109" t="s">
        <v>232</v>
      </c>
      <c r="BO1" s="109" t="s">
        <v>231</v>
      </c>
      <c r="BP1" s="110" t="s">
        <v>230</v>
      </c>
      <c r="BQ1" s="110" t="s">
        <v>229</v>
      </c>
      <c r="BR1" s="110" t="s">
        <v>228</v>
      </c>
      <c r="BS1" s="110" t="s">
        <v>227</v>
      </c>
      <c r="BT1" s="110" t="s">
        <v>226</v>
      </c>
      <c r="BU1" s="110" t="s">
        <v>225</v>
      </c>
      <c r="BV1" s="110" t="s">
        <v>224</v>
      </c>
      <c r="BW1" s="110" t="s">
        <v>223</v>
      </c>
      <c r="BX1" s="110" t="s">
        <v>222</v>
      </c>
      <c r="BY1" s="110" t="s">
        <v>221</v>
      </c>
      <c r="BZ1" s="110" t="s">
        <v>220</v>
      </c>
      <c r="CA1" s="110" t="s">
        <v>219</v>
      </c>
      <c r="CB1" s="110" t="s">
        <v>218</v>
      </c>
      <c r="CC1" s="110" t="s">
        <v>217</v>
      </c>
      <c r="CD1" s="110" t="s">
        <v>216</v>
      </c>
      <c r="CE1" s="110" t="s">
        <v>215</v>
      </c>
      <c r="CF1" s="109" t="s">
        <v>214</v>
      </c>
      <c r="CG1" s="109" t="s">
        <v>213</v>
      </c>
      <c r="CH1" s="110" t="s">
        <v>212</v>
      </c>
      <c r="CI1" s="109" t="s">
        <v>211</v>
      </c>
      <c r="CJ1" s="110" t="s">
        <v>210</v>
      </c>
      <c r="CK1" s="110" t="s">
        <v>209</v>
      </c>
      <c r="CL1" s="110" t="s">
        <v>208</v>
      </c>
      <c r="CM1" s="110" t="s">
        <v>207</v>
      </c>
      <c r="CN1" s="110" t="s">
        <v>206</v>
      </c>
      <c r="CO1" s="110" t="s">
        <v>205</v>
      </c>
      <c r="CP1" s="110" t="s">
        <v>204</v>
      </c>
      <c r="CQ1" s="110" t="s">
        <v>203</v>
      </c>
      <c r="CR1" s="110" t="s">
        <v>202</v>
      </c>
      <c r="CS1" s="110" t="s">
        <v>201</v>
      </c>
      <c r="CT1" s="110" t="s">
        <v>200</v>
      </c>
      <c r="CU1" s="110" t="s">
        <v>199</v>
      </c>
      <c r="CV1" s="110" t="s">
        <v>198</v>
      </c>
      <c r="CW1" s="110" t="s">
        <v>197</v>
      </c>
      <c r="CX1" s="110" t="s">
        <v>196</v>
      </c>
      <c r="CY1" s="110" t="s">
        <v>195</v>
      </c>
      <c r="CZ1" s="110" t="s">
        <v>194</v>
      </c>
      <c r="DA1" s="110" t="s">
        <v>193</v>
      </c>
      <c r="DB1" s="110" t="s">
        <v>192</v>
      </c>
      <c r="DC1" s="110" t="s">
        <v>191</v>
      </c>
      <c r="DD1" s="110" t="s">
        <v>190</v>
      </c>
      <c r="DE1" s="110" t="s">
        <v>189</v>
      </c>
      <c r="DF1" s="110" t="s">
        <v>188</v>
      </c>
      <c r="DG1" s="110" t="s">
        <v>187</v>
      </c>
      <c r="DH1" s="110" t="s">
        <v>186</v>
      </c>
      <c r="DI1" s="110" t="s">
        <v>185</v>
      </c>
      <c r="DJ1" s="110" t="s">
        <v>184</v>
      </c>
      <c r="DK1" s="110" t="s">
        <v>183</v>
      </c>
      <c r="DL1" s="110" t="s">
        <v>182</v>
      </c>
      <c r="DM1" s="110" t="s">
        <v>181</v>
      </c>
      <c r="DN1" s="110" t="s">
        <v>180</v>
      </c>
      <c r="DO1" s="110" t="s">
        <v>179</v>
      </c>
      <c r="DP1" s="110" t="s">
        <v>178</v>
      </c>
      <c r="DQ1" s="111" t="s">
        <v>177</v>
      </c>
      <c r="DR1" s="111" t="s">
        <v>176</v>
      </c>
      <c r="DS1" s="111" t="s">
        <v>175</v>
      </c>
      <c r="DT1" s="111" t="s">
        <v>174</v>
      </c>
      <c r="DU1" s="111" t="s">
        <v>173</v>
      </c>
      <c r="DV1" s="111" t="s">
        <v>172</v>
      </c>
      <c r="DW1" s="111" t="s">
        <v>171</v>
      </c>
      <c r="DX1" s="111" t="s">
        <v>170</v>
      </c>
      <c r="DY1" s="111" t="s">
        <v>169</v>
      </c>
      <c r="DZ1" s="111" t="s">
        <v>168</v>
      </c>
      <c r="EA1" s="111" t="s">
        <v>167</v>
      </c>
      <c r="EB1" s="111" t="s">
        <v>166</v>
      </c>
      <c r="EC1" s="111" t="s">
        <v>165</v>
      </c>
      <c r="ED1" s="111" t="s">
        <v>164</v>
      </c>
      <c r="EE1" s="111" t="s">
        <v>163</v>
      </c>
      <c r="EF1" s="111" t="s">
        <v>162</v>
      </c>
      <c r="EG1" s="111" t="s">
        <v>161</v>
      </c>
      <c r="EH1" s="111" t="s">
        <v>160</v>
      </c>
      <c r="EI1" s="111" t="s">
        <v>159</v>
      </c>
      <c r="EJ1" s="111" t="s">
        <v>158</v>
      </c>
      <c r="EK1" s="111" t="s">
        <v>157</v>
      </c>
      <c r="EL1" s="111" t="s">
        <v>156</v>
      </c>
      <c r="EM1" s="111" t="s">
        <v>155</v>
      </c>
      <c r="EN1" s="111" t="s">
        <v>154</v>
      </c>
      <c r="EO1" s="111" t="s">
        <v>153</v>
      </c>
      <c r="EP1" s="111" t="s">
        <v>152</v>
      </c>
      <c r="EQ1" s="111" t="s">
        <v>151</v>
      </c>
      <c r="ER1" s="109" t="s">
        <v>150</v>
      </c>
      <c r="ES1" s="110" t="s">
        <v>149</v>
      </c>
      <c r="ET1" s="110" t="s">
        <v>148</v>
      </c>
      <c r="EU1" s="110" t="s">
        <v>147</v>
      </c>
      <c r="EV1" s="109" t="s">
        <v>146</v>
      </c>
      <c r="EW1" s="109" t="s">
        <v>145</v>
      </c>
      <c r="EX1" s="109" t="s">
        <v>144</v>
      </c>
      <c r="EY1" s="109" t="s">
        <v>143</v>
      </c>
      <c r="EZ1" s="110" t="s">
        <v>142</v>
      </c>
      <c r="FA1" s="110" t="s">
        <v>141</v>
      </c>
      <c r="FB1" s="110" t="s">
        <v>140</v>
      </c>
      <c r="FC1" s="110" t="s">
        <v>139</v>
      </c>
      <c r="FD1" s="110" t="s">
        <v>138</v>
      </c>
      <c r="FE1" s="110" t="s">
        <v>137</v>
      </c>
      <c r="FF1" s="110" t="s">
        <v>136</v>
      </c>
      <c r="FG1" s="110" t="s">
        <v>135</v>
      </c>
      <c r="FH1" s="110" t="s">
        <v>134</v>
      </c>
      <c r="FI1" s="110" t="s">
        <v>133</v>
      </c>
      <c r="FJ1" s="110" t="s">
        <v>132</v>
      </c>
      <c r="FK1" s="110" t="s">
        <v>131</v>
      </c>
      <c r="FL1" s="110" t="s">
        <v>130</v>
      </c>
      <c r="FM1" s="110" t="s">
        <v>129</v>
      </c>
      <c r="FN1" s="110" t="s">
        <v>128</v>
      </c>
      <c r="FO1" s="110" t="s">
        <v>127</v>
      </c>
      <c r="FP1" s="110" t="s">
        <v>126</v>
      </c>
      <c r="FQ1" s="110" t="s">
        <v>125</v>
      </c>
      <c r="FR1" s="110" t="s">
        <v>124</v>
      </c>
      <c r="FS1" s="110" t="s">
        <v>123</v>
      </c>
      <c r="FT1" s="110" t="s">
        <v>122</v>
      </c>
      <c r="FU1" s="110" t="s">
        <v>121</v>
      </c>
      <c r="FV1" s="110" t="s">
        <v>120</v>
      </c>
      <c r="FW1" s="110" t="s">
        <v>119</v>
      </c>
      <c r="FX1" s="110" t="s">
        <v>118</v>
      </c>
      <c r="FY1" s="110" t="s">
        <v>117</v>
      </c>
      <c r="FZ1" s="110" t="s">
        <v>116</v>
      </c>
      <c r="GA1" s="110" t="s">
        <v>115</v>
      </c>
      <c r="GB1" s="110" t="s">
        <v>114</v>
      </c>
      <c r="GC1" s="110" t="s">
        <v>113</v>
      </c>
      <c r="GD1" s="110" t="s">
        <v>112</v>
      </c>
      <c r="GE1" s="110" t="s">
        <v>111</v>
      </c>
      <c r="GF1" s="110" t="s">
        <v>110</v>
      </c>
      <c r="GG1" s="111" t="s">
        <v>109</v>
      </c>
      <c r="GH1" s="111" t="s">
        <v>108</v>
      </c>
      <c r="GI1" s="111" t="s">
        <v>107</v>
      </c>
      <c r="GJ1" s="111" t="s">
        <v>106</v>
      </c>
      <c r="GK1" s="111" t="s">
        <v>105</v>
      </c>
      <c r="GL1" s="111" t="s">
        <v>104</v>
      </c>
      <c r="GM1" s="111" t="s">
        <v>103</v>
      </c>
      <c r="GN1" s="111" t="s">
        <v>102</v>
      </c>
      <c r="GO1" s="111" t="s">
        <v>101</v>
      </c>
      <c r="GP1" s="111" t="s">
        <v>100</v>
      </c>
      <c r="GQ1" s="111" t="s">
        <v>99</v>
      </c>
      <c r="GR1" s="111" t="s">
        <v>98</v>
      </c>
      <c r="GS1" s="111" t="s">
        <v>97</v>
      </c>
      <c r="GT1" s="111" t="s">
        <v>96</v>
      </c>
      <c r="GU1" s="111" t="s">
        <v>95</v>
      </c>
      <c r="GV1" s="111" t="s">
        <v>94</v>
      </c>
      <c r="GW1" s="111" t="s">
        <v>93</v>
      </c>
      <c r="GX1" s="111" t="s">
        <v>92</v>
      </c>
      <c r="GY1" s="111" t="s">
        <v>91</v>
      </c>
      <c r="GZ1" s="111" t="s">
        <v>90</v>
      </c>
      <c r="HA1" s="111" t="s">
        <v>89</v>
      </c>
      <c r="HB1" s="111" t="s">
        <v>88</v>
      </c>
      <c r="HC1" s="111" t="s">
        <v>87</v>
      </c>
      <c r="HD1" s="111" t="s">
        <v>86</v>
      </c>
      <c r="HE1" s="111" t="s">
        <v>85</v>
      </c>
      <c r="HF1" s="111" t="s">
        <v>84</v>
      </c>
      <c r="HG1" s="111" t="s">
        <v>83</v>
      </c>
      <c r="HH1" s="111" t="s">
        <v>82</v>
      </c>
      <c r="HI1" s="111" t="s">
        <v>81</v>
      </c>
      <c r="HJ1" s="110" t="s">
        <v>80</v>
      </c>
      <c r="HK1" s="110" t="s">
        <v>79</v>
      </c>
      <c r="HL1" s="110" t="s">
        <v>78</v>
      </c>
      <c r="HM1" s="110" t="s">
        <v>77</v>
      </c>
      <c r="HN1" s="110"/>
    </row>
    <row r="2" spans="1:222" s="98" customFormat="1" x14ac:dyDescent="0.25">
      <c r="A2" s="97"/>
      <c r="B2" s="97"/>
      <c r="C2" s="97"/>
      <c r="D2" s="97"/>
      <c r="E2" s="97"/>
      <c r="F2" s="97"/>
      <c r="G2" s="97"/>
      <c r="H2" s="97"/>
      <c r="I2" s="97"/>
      <c r="J2" s="108"/>
      <c r="K2" s="108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L2" s="97"/>
      <c r="AM2" s="97"/>
      <c r="AN2" s="97"/>
      <c r="AO2" s="97"/>
      <c r="AQ2" s="101"/>
      <c r="AR2" s="103"/>
      <c r="AS2" s="103"/>
      <c r="AT2" s="103"/>
      <c r="AV2" s="101"/>
      <c r="AW2" s="103"/>
      <c r="AX2" s="103"/>
      <c r="AY2" s="103"/>
      <c r="AZ2" s="103"/>
      <c r="BA2" s="97"/>
      <c r="BB2" s="99"/>
      <c r="BC2" s="108"/>
      <c r="BD2" s="108"/>
      <c r="BE2" s="97"/>
      <c r="BF2" s="97"/>
      <c r="BG2" s="97"/>
      <c r="BH2" s="101"/>
      <c r="BI2" s="97"/>
      <c r="BJ2" s="97"/>
      <c r="BK2" s="97"/>
      <c r="BL2" s="97"/>
      <c r="BM2" s="97"/>
      <c r="BN2" s="97"/>
      <c r="BP2" s="97"/>
      <c r="BQ2" s="97"/>
      <c r="BR2" s="97"/>
      <c r="BS2" s="97"/>
      <c r="BT2" s="99"/>
      <c r="BU2" s="99"/>
      <c r="BV2" s="99"/>
      <c r="BW2" s="99"/>
      <c r="BX2" s="97"/>
      <c r="BY2" s="97"/>
      <c r="BZ2" s="97"/>
      <c r="CA2" s="97"/>
      <c r="CB2" s="103"/>
      <c r="CC2" s="103"/>
      <c r="CD2" s="103"/>
      <c r="CE2" s="103"/>
      <c r="CF2" s="107"/>
      <c r="CG2" s="107"/>
      <c r="CH2" s="105"/>
      <c r="CI2" s="106"/>
      <c r="CJ2" s="105"/>
      <c r="CK2" s="104"/>
      <c r="CL2" s="97"/>
      <c r="CM2" s="97"/>
      <c r="CN2" s="97"/>
      <c r="CO2" s="97"/>
      <c r="CP2" s="97"/>
      <c r="CQ2" s="103"/>
      <c r="CR2" s="103"/>
      <c r="CS2" s="97"/>
      <c r="CT2" s="103"/>
      <c r="CU2" s="103"/>
      <c r="CV2" s="97"/>
      <c r="CW2" s="97"/>
      <c r="CX2" s="102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9"/>
      <c r="DR2" s="99"/>
      <c r="DS2" s="99"/>
      <c r="DT2" s="99"/>
      <c r="DU2" s="99"/>
      <c r="DV2" s="99"/>
      <c r="DW2" s="99"/>
      <c r="DX2" s="99"/>
      <c r="DY2" s="99"/>
      <c r="DZ2" s="99"/>
      <c r="EA2" s="99"/>
      <c r="EB2" s="99"/>
      <c r="EC2" s="99"/>
      <c r="ED2" s="99"/>
      <c r="EE2" s="99"/>
      <c r="EF2" s="99"/>
      <c r="EG2" s="99"/>
      <c r="EH2" s="99"/>
      <c r="EI2" s="99"/>
      <c r="EJ2" s="99"/>
      <c r="EK2" s="99"/>
      <c r="EL2" s="99"/>
      <c r="EM2" s="99"/>
      <c r="EN2" s="99"/>
      <c r="EO2" s="99"/>
      <c r="EP2" s="100"/>
      <c r="EQ2" s="99"/>
      <c r="ER2" s="101"/>
      <c r="ES2" s="97"/>
      <c r="ET2" s="97"/>
      <c r="EU2" s="97"/>
      <c r="EW2" s="101"/>
      <c r="EY2" s="101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9"/>
      <c r="GH2" s="99"/>
      <c r="GI2" s="99"/>
      <c r="GJ2" s="99"/>
      <c r="GK2" s="99"/>
      <c r="GL2" s="99"/>
      <c r="GM2" s="99"/>
      <c r="GN2" s="99"/>
      <c r="GO2" s="99"/>
      <c r="GP2" s="99"/>
      <c r="GQ2" s="99"/>
      <c r="GR2" s="99"/>
      <c r="GS2" s="99"/>
      <c r="GT2" s="99"/>
      <c r="GU2" s="99"/>
      <c r="GV2" s="99"/>
      <c r="GW2" s="99"/>
      <c r="GX2" s="99"/>
      <c r="GY2" s="99"/>
      <c r="GZ2" s="99"/>
      <c r="HA2" s="99"/>
      <c r="HB2" s="99"/>
      <c r="HC2" s="99"/>
      <c r="HD2" s="99"/>
      <c r="HE2" s="99"/>
      <c r="HF2" s="99"/>
      <c r="HG2" s="99"/>
      <c r="HH2" s="100"/>
      <c r="HI2" s="99"/>
      <c r="HJ2" s="97"/>
      <c r="HK2" s="97"/>
      <c r="HL2" s="97"/>
      <c r="HM2" s="97"/>
      <c r="HN2" s="99"/>
    </row>
  </sheetData>
  <autoFilter ref="A1:HN2" xr:uid="{AB792413-CD20-46F8-9B7F-9296443E5950}"/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C922"/>
  <sheetViews>
    <sheetView workbookViewId="0">
      <selection activeCell="A3" sqref="A3:XFD116"/>
    </sheetView>
  </sheetViews>
  <sheetFormatPr baseColWidth="10" defaultColWidth="11.42578125" defaultRowHeight="15" x14ac:dyDescent="0.25"/>
  <cols>
    <col min="1" max="6" width="5.85546875" style="45" customWidth="1"/>
    <col min="7" max="7" width="19.85546875" style="45" bestFit="1" customWidth="1"/>
    <col min="8" max="8" width="27" style="45" bestFit="1" customWidth="1"/>
    <col min="9" max="9" width="33.85546875" style="114" customWidth="1"/>
    <col min="10" max="10" width="34.42578125" style="114" customWidth="1"/>
    <col min="11" max="11" width="20" style="45" customWidth="1"/>
    <col min="12" max="12" width="17.85546875" style="45" customWidth="1"/>
    <col min="13" max="13" width="20.85546875" style="45" customWidth="1"/>
    <col min="14" max="14" width="22.28515625" style="114" customWidth="1"/>
    <col min="15" max="15" width="27.5703125" style="114" customWidth="1"/>
    <col min="16" max="16" width="27.140625" style="114" customWidth="1"/>
    <col min="17" max="17" width="19.85546875" style="114" customWidth="1"/>
    <col min="18" max="18" width="19.85546875" style="45" customWidth="1"/>
    <col min="19" max="20" width="19.85546875" style="117" customWidth="1"/>
    <col min="21" max="21" width="30" style="114" customWidth="1"/>
    <col min="22" max="23" width="18.7109375" style="116" customWidth="1"/>
    <col min="24" max="25" width="22.5703125" style="114" customWidth="1"/>
    <col min="26" max="27" width="25.7109375" style="115" customWidth="1"/>
    <col min="28" max="28" width="22.28515625" style="114" customWidth="1"/>
    <col min="29" max="29" width="27.5703125" style="114" customWidth="1"/>
  </cols>
  <sheetData>
    <row r="1" spans="1:29" ht="16.5" thickTop="1" thickBot="1" x14ac:dyDescent="0.3">
      <c r="A1" s="118" t="s">
        <v>306</v>
      </c>
      <c r="B1" s="118" t="s">
        <v>270</v>
      </c>
      <c r="C1" s="118" t="s">
        <v>269</v>
      </c>
      <c r="D1" s="118" t="s">
        <v>268</v>
      </c>
      <c r="E1" s="118" t="s">
        <v>267</v>
      </c>
      <c r="F1" s="118" t="s">
        <v>266</v>
      </c>
      <c r="G1" s="118" t="s">
        <v>289</v>
      </c>
      <c r="H1" s="118" t="s">
        <v>275</v>
      </c>
      <c r="I1" s="118" t="s">
        <v>286</v>
      </c>
      <c r="J1" s="118" t="s">
        <v>256</v>
      </c>
      <c r="K1" s="118" t="s">
        <v>284</v>
      </c>
      <c r="L1" s="118" t="s">
        <v>254</v>
      </c>
      <c r="M1" s="118" t="s">
        <v>253</v>
      </c>
      <c r="N1" s="118" t="s">
        <v>274</v>
      </c>
      <c r="O1" s="118" t="s">
        <v>273</v>
      </c>
      <c r="P1" s="118" t="s">
        <v>282</v>
      </c>
      <c r="Q1" s="118" t="s">
        <v>251</v>
      </c>
      <c r="R1" s="118" t="s">
        <v>280</v>
      </c>
      <c r="S1" s="120" t="s">
        <v>249</v>
      </c>
      <c r="T1" s="120" t="s">
        <v>248</v>
      </c>
      <c r="U1" s="118" t="s">
        <v>272</v>
      </c>
      <c r="V1" s="118" t="s">
        <v>271</v>
      </c>
      <c r="W1" s="118" t="s">
        <v>305</v>
      </c>
      <c r="X1" s="118" t="s">
        <v>304</v>
      </c>
      <c r="Y1" s="118" t="s">
        <v>303</v>
      </c>
      <c r="Z1" s="119" t="s">
        <v>302</v>
      </c>
      <c r="AA1" s="119" t="s">
        <v>301</v>
      </c>
      <c r="AB1" s="118" t="s">
        <v>300</v>
      </c>
      <c r="AC1" s="118" t="s">
        <v>299</v>
      </c>
    </row>
    <row r="2" spans="1:29" s="45" customFormat="1" ht="15.75" thickTop="1" x14ac:dyDescent="0.25">
      <c r="A2" s="45">
        <v>0</v>
      </c>
      <c r="B2" s="45" t="s">
        <v>298</v>
      </c>
      <c r="C2" s="45" t="s">
        <v>298</v>
      </c>
      <c r="D2" s="45" t="s">
        <v>298</v>
      </c>
      <c r="E2" s="45" t="s">
        <v>298</v>
      </c>
      <c r="F2" s="45" t="s">
        <v>298</v>
      </c>
      <c r="G2" s="45" t="s">
        <v>298</v>
      </c>
      <c r="H2" s="45" t="s">
        <v>298</v>
      </c>
      <c r="I2" s="114" t="s">
        <v>298</v>
      </c>
      <c r="J2" s="114" t="s">
        <v>298</v>
      </c>
      <c r="K2" s="45" t="s">
        <v>298</v>
      </c>
      <c r="L2" s="45" t="s">
        <v>298</v>
      </c>
      <c r="M2" s="45" t="s">
        <v>298</v>
      </c>
      <c r="N2" s="114" t="s">
        <v>298</v>
      </c>
      <c r="O2" s="114" t="s">
        <v>298</v>
      </c>
      <c r="P2" s="114" t="s">
        <v>298</v>
      </c>
      <c r="Q2" s="114" t="s">
        <v>298</v>
      </c>
      <c r="R2" s="45" t="s">
        <v>298</v>
      </c>
      <c r="S2" s="117" t="s">
        <v>298</v>
      </c>
      <c r="T2" s="117" t="s">
        <v>298</v>
      </c>
      <c r="U2" s="114" t="s">
        <v>298</v>
      </c>
      <c r="V2" s="116" t="s">
        <v>298</v>
      </c>
      <c r="W2" s="116" t="s">
        <v>298</v>
      </c>
      <c r="X2" s="114" t="s">
        <v>298</v>
      </c>
      <c r="Y2" s="114" t="s">
        <v>298</v>
      </c>
      <c r="Z2" s="115" t="s">
        <v>298</v>
      </c>
      <c r="AA2" s="115" t="s">
        <v>298</v>
      </c>
      <c r="AB2" s="114" t="s">
        <v>298</v>
      </c>
      <c r="AC2" s="114" t="s">
        <v>298</v>
      </c>
    </row>
    <row r="3" spans="1:29" x14ac:dyDescent="0.25">
      <c r="A3"/>
      <c r="B3"/>
      <c r="C3" s="92"/>
      <c r="L3" s="92"/>
      <c r="M3" s="92"/>
      <c r="Q3" s="115"/>
      <c r="R3" s="92"/>
      <c r="S3"/>
      <c r="T3"/>
      <c r="U3"/>
      <c r="V3"/>
      <c r="W3"/>
      <c r="X3"/>
      <c r="Y3"/>
      <c r="Z3"/>
      <c r="AA3"/>
      <c r="AB3"/>
      <c r="AC3"/>
    </row>
    <row r="4" spans="1:29" x14ac:dyDescent="0.25">
      <c r="A4"/>
      <c r="B4"/>
      <c r="C4" s="92"/>
      <c r="L4" s="92"/>
      <c r="M4" s="92"/>
      <c r="Q4" s="115"/>
      <c r="R4" s="92"/>
      <c r="S4"/>
      <c r="T4"/>
      <c r="U4"/>
      <c r="V4"/>
      <c r="W4"/>
      <c r="X4"/>
      <c r="Y4"/>
      <c r="Z4"/>
      <c r="AA4"/>
      <c r="AB4"/>
      <c r="AC4"/>
    </row>
    <row r="5" spans="1:29" x14ac:dyDescent="0.25">
      <c r="A5"/>
      <c r="B5"/>
      <c r="C5" s="92"/>
      <c r="L5" s="92"/>
      <c r="M5" s="92"/>
      <c r="Q5" s="115"/>
      <c r="R5" s="92"/>
      <c r="S5"/>
      <c r="T5"/>
      <c r="U5"/>
      <c r="V5"/>
      <c r="W5"/>
      <c r="X5"/>
      <c r="Y5"/>
      <c r="Z5"/>
      <c r="AA5"/>
      <c r="AB5"/>
      <c r="AC5"/>
    </row>
    <row r="6" spans="1:29" x14ac:dyDescent="0.25">
      <c r="A6"/>
      <c r="B6"/>
      <c r="C6" s="92"/>
      <c r="L6" s="92"/>
      <c r="M6" s="92"/>
      <c r="Q6" s="115"/>
      <c r="R6" s="92"/>
      <c r="S6"/>
      <c r="T6"/>
      <c r="U6"/>
      <c r="V6"/>
      <c r="W6"/>
      <c r="X6"/>
      <c r="Y6"/>
      <c r="Z6"/>
      <c r="AA6"/>
      <c r="AB6"/>
      <c r="AC6"/>
    </row>
    <row r="7" spans="1:29" x14ac:dyDescent="0.25">
      <c r="A7"/>
      <c r="B7"/>
      <c r="C7" s="92"/>
      <c r="L7" s="92"/>
      <c r="M7" s="92"/>
      <c r="Q7" s="115"/>
      <c r="R7" s="92"/>
      <c r="S7"/>
      <c r="T7"/>
      <c r="U7"/>
      <c r="V7"/>
      <c r="W7"/>
      <c r="X7"/>
      <c r="Y7"/>
      <c r="Z7"/>
      <c r="AA7"/>
      <c r="AB7"/>
      <c r="AC7"/>
    </row>
    <row r="8" spans="1:29" x14ac:dyDescent="0.25">
      <c r="A8"/>
      <c r="B8"/>
      <c r="C8" s="92"/>
      <c r="L8" s="92"/>
      <c r="M8" s="92"/>
      <c r="Q8" s="115"/>
      <c r="R8" s="92"/>
      <c r="S8"/>
      <c r="T8"/>
      <c r="U8"/>
      <c r="V8"/>
      <c r="W8"/>
      <c r="X8"/>
      <c r="Y8"/>
      <c r="Z8"/>
      <c r="AA8"/>
      <c r="AB8"/>
      <c r="AC8"/>
    </row>
    <row r="9" spans="1:29" x14ac:dyDescent="0.25">
      <c r="A9"/>
      <c r="B9"/>
      <c r="C9" s="92"/>
      <c r="L9" s="92"/>
      <c r="M9" s="92"/>
      <c r="Q9" s="115"/>
      <c r="R9" s="92"/>
      <c r="S9"/>
      <c r="T9"/>
      <c r="U9"/>
      <c r="V9"/>
      <c r="W9"/>
      <c r="X9"/>
      <c r="Y9"/>
      <c r="Z9"/>
      <c r="AA9"/>
      <c r="AB9"/>
      <c r="AC9"/>
    </row>
    <row r="10" spans="1:29" x14ac:dyDescent="0.25">
      <c r="A10"/>
      <c r="B10"/>
      <c r="C10" s="92"/>
      <c r="L10" s="92"/>
      <c r="M10" s="92"/>
      <c r="Q10" s="115"/>
      <c r="R10" s="92"/>
      <c r="S10"/>
      <c r="T10"/>
      <c r="U10"/>
      <c r="V10"/>
      <c r="W10"/>
      <c r="X10"/>
      <c r="Y10"/>
      <c r="Z10"/>
      <c r="AA10"/>
      <c r="AB10"/>
      <c r="AC10"/>
    </row>
    <row r="11" spans="1:29" x14ac:dyDescent="0.25">
      <c r="A11"/>
      <c r="B11"/>
      <c r="C11" s="92"/>
      <c r="L11" s="92"/>
      <c r="M11" s="92"/>
      <c r="Q11" s="115"/>
      <c r="R11" s="92"/>
      <c r="S11"/>
      <c r="T11"/>
      <c r="U11"/>
      <c r="V11"/>
      <c r="W11"/>
      <c r="X11"/>
      <c r="Y11"/>
      <c r="Z11"/>
      <c r="AA11"/>
      <c r="AB11"/>
      <c r="AC11"/>
    </row>
    <row r="12" spans="1:29" x14ac:dyDescent="0.25">
      <c r="A12"/>
      <c r="B12"/>
      <c r="C12" s="92"/>
      <c r="L12" s="92"/>
      <c r="M12" s="92"/>
      <c r="Q12" s="115"/>
      <c r="R12" s="92"/>
      <c r="S12"/>
      <c r="T12"/>
      <c r="U12"/>
      <c r="V12"/>
      <c r="W12"/>
      <c r="X12"/>
      <c r="Y12"/>
      <c r="Z12"/>
      <c r="AA12"/>
      <c r="AB12"/>
      <c r="AC12"/>
    </row>
    <row r="13" spans="1:29" x14ac:dyDescent="0.25">
      <c r="A13"/>
      <c r="B13"/>
      <c r="C13" s="92"/>
      <c r="L13" s="92"/>
      <c r="M13" s="92"/>
      <c r="Q13" s="115"/>
      <c r="R13" s="92"/>
      <c r="S13"/>
      <c r="T13"/>
      <c r="U13"/>
      <c r="V13"/>
      <c r="W13"/>
      <c r="X13"/>
      <c r="Y13"/>
      <c r="Z13"/>
      <c r="AA13"/>
      <c r="AB13"/>
      <c r="AC13"/>
    </row>
    <row r="14" spans="1:29" x14ac:dyDescent="0.25">
      <c r="A14"/>
      <c r="B14"/>
      <c r="C14" s="92"/>
      <c r="L14" s="92"/>
      <c r="M14" s="92"/>
      <c r="Q14" s="115"/>
      <c r="R14" s="92"/>
      <c r="S14"/>
      <c r="T14"/>
      <c r="U14"/>
      <c r="V14"/>
      <c r="W14"/>
      <c r="X14"/>
      <c r="Y14"/>
      <c r="Z14"/>
      <c r="AA14"/>
      <c r="AB14"/>
      <c r="AC14"/>
    </row>
    <row r="15" spans="1:29" x14ac:dyDescent="0.25">
      <c r="A15"/>
      <c r="B15"/>
      <c r="C15" s="92"/>
      <c r="L15" s="92"/>
      <c r="M15" s="92"/>
      <c r="Q15" s="115"/>
      <c r="R15" s="92"/>
      <c r="S15"/>
      <c r="T15"/>
      <c r="U15"/>
      <c r="V15"/>
      <c r="W15"/>
      <c r="X15"/>
      <c r="Y15"/>
      <c r="Z15"/>
      <c r="AA15"/>
      <c r="AB15"/>
      <c r="AC15"/>
    </row>
    <row r="16" spans="1:29" x14ac:dyDescent="0.25">
      <c r="A16"/>
      <c r="B16"/>
      <c r="C16" s="92"/>
      <c r="L16" s="92"/>
      <c r="M16" s="92"/>
      <c r="Q16" s="115"/>
      <c r="R16" s="92"/>
      <c r="S16"/>
      <c r="T16"/>
      <c r="U16"/>
      <c r="V16"/>
      <c r="W16"/>
      <c r="X16"/>
      <c r="Y16"/>
      <c r="Z16"/>
      <c r="AA16"/>
      <c r="AB16"/>
      <c r="AC16"/>
    </row>
    <row r="17" spans="1:29" x14ac:dyDescent="0.25">
      <c r="A17"/>
      <c r="B17"/>
      <c r="C17" s="92"/>
      <c r="L17" s="92"/>
      <c r="M17" s="92"/>
      <c r="Q17" s="115"/>
      <c r="R17" s="92"/>
      <c r="S17"/>
      <c r="T17"/>
      <c r="U17"/>
      <c r="V17"/>
      <c r="W17"/>
      <c r="X17"/>
      <c r="Y17"/>
      <c r="Z17"/>
      <c r="AA17"/>
      <c r="AB17"/>
      <c r="AC17"/>
    </row>
    <row r="18" spans="1:29" x14ac:dyDescent="0.25">
      <c r="A18"/>
      <c r="B18"/>
      <c r="C18" s="92"/>
      <c r="L18" s="92"/>
      <c r="M18" s="92"/>
      <c r="Q18" s="115"/>
      <c r="R18" s="92"/>
      <c r="S18"/>
      <c r="T18"/>
      <c r="U18"/>
      <c r="V18"/>
      <c r="W18"/>
      <c r="X18"/>
      <c r="Y18"/>
      <c r="Z18"/>
      <c r="AA18"/>
      <c r="AB18"/>
      <c r="AC18"/>
    </row>
    <row r="19" spans="1:29" x14ac:dyDescent="0.25">
      <c r="A19"/>
      <c r="B19"/>
      <c r="C19" s="92"/>
      <c r="L19" s="92"/>
      <c r="M19" s="92"/>
      <c r="Q19" s="115"/>
      <c r="R19" s="92"/>
      <c r="S19"/>
      <c r="T19"/>
      <c r="U19"/>
      <c r="V19"/>
      <c r="W19"/>
      <c r="X19"/>
      <c r="Y19"/>
      <c r="Z19"/>
      <c r="AA19"/>
      <c r="AB19"/>
      <c r="AC19"/>
    </row>
    <row r="20" spans="1:29" x14ac:dyDescent="0.25">
      <c r="A20"/>
      <c r="B20"/>
      <c r="C20" s="92"/>
      <c r="L20" s="92"/>
      <c r="M20" s="92"/>
      <c r="Q20" s="115"/>
      <c r="R20" s="92"/>
      <c r="S20"/>
      <c r="T20"/>
      <c r="U20"/>
      <c r="V20"/>
      <c r="W20"/>
      <c r="X20"/>
      <c r="Y20"/>
      <c r="Z20"/>
      <c r="AA20"/>
      <c r="AB20"/>
      <c r="AC20"/>
    </row>
    <row r="21" spans="1:29" x14ac:dyDescent="0.25">
      <c r="A21"/>
      <c r="B21"/>
      <c r="C21" s="92"/>
      <c r="L21" s="92"/>
      <c r="M21" s="92"/>
      <c r="Q21" s="115"/>
      <c r="R21" s="92"/>
      <c r="S21"/>
      <c r="T21"/>
      <c r="U21"/>
      <c r="V21"/>
      <c r="W21"/>
      <c r="X21"/>
      <c r="Y21"/>
      <c r="Z21"/>
      <c r="AA21"/>
      <c r="AB21"/>
      <c r="AC21"/>
    </row>
    <row r="22" spans="1:29" x14ac:dyDescent="0.25">
      <c r="A22"/>
      <c r="B22"/>
      <c r="C22" s="92"/>
      <c r="L22" s="92"/>
      <c r="M22" s="92"/>
      <c r="Q22" s="115"/>
      <c r="R22" s="92"/>
      <c r="S22"/>
      <c r="T22"/>
      <c r="U22"/>
      <c r="V22"/>
      <c r="W22"/>
      <c r="X22"/>
      <c r="Y22"/>
      <c r="Z22"/>
      <c r="AA22"/>
      <c r="AB22"/>
      <c r="AC22"/>
    </row>
    <row r="23" spans="1:29" x14ac:dyDescent="0.25">
      <c r="A23"/>
      <c r="B23"/>
      <c r="C23" s="92"/>
      <c r="L23" s="92"/>
      <c r="M23" s="92"/>
      <c r="Q23" s="115"/>
      <c r="R23" s="92"/>
      <c r="S23"/>
      <c r="T23"/>
      <c r="U23"/>
      <c r="V23"/>
      <c r="W23"/>
      <c r="X23"/>
      <c r="Y23"/>
      <c r="Z23"/>
      <c r="AA23"/>
      <c r="AB23"/>
      <c r="AC23"/>
    </row>
    <row r="24" spans="1:29" x14ac:dyDescent="0.25">
      <c r="A24"/>
      <c r="B24"/>
      <c r="C24" s="92"/>
      <c r="L24" s="92"/>
      <c r="M24" s="92"/>
      <c r="Q24" s="115"/>
      <c r="R24" s="92"/>
      <c r="S24"/>
      <c r="T24"/>
      <c r="U24"/>
      <c r="V24"/>
      <c r="W24"/>
      <c r="X24"/>
      <c r="Y24"/>
      <c r="Z24"/>
      <c r="AA24"/>
      <c r="AB24"/>
      <c r="AC24"/>
    </row>
    <row r="25" spans="1:29" x14ac:dyDescent="0.25">
      <c r="A25"/>
      <c r="B25"/>
      <c r="C25" s="92"/>
      <c r="L25" s="92"/>
      <c r="M25" s="92"/>
      <c r="Q25" s="115"/>
      <c r="R25" s="92"/>
      <c r="S25"/>
      <c r="T25"/>
      <c r="U25"/>
      <c r="V25"/>
      <c r="W25"/>
      <c r="X25"/>
      <c r="Y25"/>
      <c r="Z25"/>
      <c r="AA25"/>
      <c r="AB25"/>
      <c r="AC25"/>
    </row>
    <row r="26" spans="1:29" x14ac:dyDescent="0.25">
      <c r="A26"/>
      <c r="B26"/>
      <c r="C26" s="92"/>
      <c r="L26" s="92"/>
      <c r="M26" s="92"/>
      <c r="Q26" s="115"/>
      <c r="R26" s="92"/>
      <c r="S26"/>
      <c r="T26"/>
      <c r="U26"/>
      <c r="V26"/>
      <c r="W26"/>
      <c r="X26"/>
      <c r="Y26"/>
      <c r="Z26"/>
      <c r="AA26"/>
      <c r="AB26"/>
      <c r="AC26"/>
    </row>
    <row r="27" spans="1:29" x14ac:dyDescent="0.25">
      <c r="A27"/>
      <c r="B27"/>
      <c r="C27" s="92"/>
      <c r="L27" s="92"/>
      <c r="M27" s="92"/>
      <c r="Q27" s="115"/>
      <c r="R27" s="92"/>
      <c r="S27"/>
      <c r="T27"/>
      <c r="U27"/>
      <c r="V27"/>
      <c r="W27"/>
      <c r="X27"/>
      <c r="Y27"/>
      <c r="Z27"/>
      <c r="AA27"/>
      <c r="AB27"/>
      <c r="AC27"/>
    </row>
    <row r="28" spans="1:29" x14ac:dyDescent="0.25">
      <c r="A28"/>
      <c r="B28"/>
      <c r="C28" s="92"/>
      <c r="L28" s="92"/>
      <c r="M28" s="92"/>
      <c r="Q28" s="115"/>
      <c r="R28" s="92"/>
      <c r="S28"/>
      <c r="T28"/>
      <c r="U28"/>
      <c r="V28"/>
      <c r="W28"/>
      <c r="X28"/>
      <c r="Y28"/>
      <c r="Z28"/>
      <c r="AA28"/>
      <c r="AB28"/>
      <c r="AC28"/>
    </row>
    <row r="29" spans="1:29" x14ac:dyDescent="0.25">
      <c r="A29"/>
      <c r="B29"/>
      <c r="C29" s="92"/>
      <c r="L29" s="92"/>
      <c r="M29" s="92"/>
      <c r="Q29" s="115"/>
      <c r="R29" s="92"/>
      <c r="S29"/>
      <c r="T29"/>
      <c r="U29"/>
      <c r="V29"/>
      <c r="W29"/>
      <c r="X29"/>
      <c r="Y29"/>
      <c r="Z29"/>
      <c r="AA29"/>
      <c r="AB29"/>
      <c r="AC29"/>
    </row>
    <row r="30" spans="1:29" x14ac:dyDescent="0.25">
      <c r="A30"/>
      <c r="B30"/>
      <c r="C30" s="92"/>
      <c r="L30" s="92"/>
      <c r="M30" s="92"/>
      <c r="Q30" s="115"/>
      <c r="R30" s="92"/>
      <c r="S30"/>
      <c r="T30"/>
      <c r="U30"/>
      <c r="V30"/>
      <c r="W30"/>
      <c r="X30"/>
      <c r="Y30"/>
      <c r="Z30"/>
      <c r="AA30"/>
      <c r="AB30"/>
      <c r="AC30"/>
    </row>
    <row r="31" spans="1:29" x14ac:dyDescent="0.25">
      <c r="A31"/>
      <c r="B31"/>
      <c r="C31" s="92"/>
      <c r="L31" s="92"/>
      <c r="M31" s="92"/>
      <c r="Q31" s="115"/>
      <c r="R31" s="92"/>
      <c r="S31"/>
      <c r="T31"/>
      <c r="U31"/>
      <c r="V31"/>
      <c r="W31"/>
      <c r="X31"/>
      <c r="Y31"/>
      <c r="Z31"/>
      <c r="AA31"/>
      <c r="AB31"/>
      <c r="AC31"/>
    </row>
    <row r="32" spans="1:29" x14ac:dyDescent="0.25">
      <c r="A32"/>
      <c r="B32"/>
      <c r="C32" s="92"/>
      <c r="L32" s="92"/>
      <c r="M32" s="92"/>
      <c r="Q32" s="115"/>
      <c r="R32" s="92"/>
      <c r="S32"/>
      <c r="T32"/>
      <c r="U32"/>
      <c r="V32"/>
      <c r="W32"/>
      <c r="X32"/>
      <c r="Y32"/>
      <c r="Z32"/>
      <c r="AA32"/>
      <c r="AB32"/>
      <c r="AC32"/>
    </row>
    <row r="33" spans="1:29" x14ac:dyDescent="0.25">
      <c r="A33"/>
      <c r="B33"/>
      <c r="C33" s="92"/>
      <c r="L33" s="92"/>
      <c r="M33" s="92"/>
      <c r="Q33" s="115"/>
      <c r="R33" s="92"/>
      <c r="S33"/>
      <c r="T33"/>
      <c r="U33"/>
      <c r="V33"/>
      <c r="W33"/>
      <c r="X33"/>
      <c r="Y33"/>
      <c r="Z33"/>
      <c r="AA33"/>
      <c r="AB33"/>
      <c r="AC33"/>
    </row>
    <row r="34" spans="1:29" x14ac:dyDescent="0.25">
      <c r="A34"/>
      <c r="B34"/>
      <c r="C34" s="92"/>
      <c r="L34" s="92"/>
      <c r="M34" s="92"/>
      <c r="Q34" s="115"/>
      <c r="R34" s="92"/>
      <c r="S34"/>
      <c r="T34"/>
      <c r="U34"/>
      <c r="V34"/>
      <c r="W34"/>
      <c r="X34"/>
      <c r="Y34"/>
      <c r="Z34"/>
      <c r="AA34"/>
      <c r="AB34"/>
      <c r="AC34"/>
    </row>
    <row r="35" spans="1:29" x14ac:dyDescent="0.25">
      <c r="A35"/>
      <c r="B35"/>
      <c r="C35" s="92"/>
      <c r="L35" s="92"/>
      <c r="M35" s="92"/>
      <c r="Q35" s="115"/>
      <c r="R35" s="92"/>
      <c r="S35"/>
      <c r="T35"/>
      <c r="U35"/>
      <c r="V35"/>
      <c r="W35"/>
      <c r="X35"/>
      <c r="Y35"/>
      <c r="Z35"/>
      <c r="AA35"/>
      <c r="AB35"/>
      <c r="AC35"/>
    </row>
    <row r="36" spans="1:29" x14ac:dyDescent="0.25">
      <c r="A36"/>
      <c r="B36"/>
      <c r="C36" s="92"/>
      <c r="L36" s="92"/>
      <c r="M36" s="92"/>
      <c r="Q36" s="115"/>
      <c r="R36" s="92"/>
      <c r="S36"/>
      <c r="T36"/>
      <c r="U36"/>
      <c r="V36"/>
      <c r="W36"/>
      <c r="X36"/>
      <c r="Y36"/>
      <c r="Z36"/>
      <c r="AA36"/>
      <c r="AB36"/>
      <c r="AC36"/>
    </row>
    <row r="37" spans="1:29" x14ac:dyDescent="0.25">
      <c r="A37"/>
      <c r="B37"/>
      <c r="C37" s="92"/>
      <c r="L37" s="92"/>
      <c r="M37" s="92"/>
      <c r="Q37" s="115"/>
      <c r="R37" s="92"/>
      <c r="S37"/>
      <c r="T37"/>
      <c r="U37"/>
      <c r="V37"/>
      <c r="W37"/>
      <c r="X37"/>
      <c r="Y37"/>
      <c r="Z37"/>
      <c r="AA37"/>
      <c r="AB37"/>
      <c r="AC37"/>
    </row>
    <row r="38" spans="1:29" x14ac:dyDescent="0.25">
      <c r="A38"/>
      <c r="B38"/>
      <c r="C38" s="92"/>
      <c r="L38" s="92"/>
      <c r="M38" s="92"/>
      <c r="Q38" s="115"/>
      <c r="R38" s="92"/>
      <c r="S38"/>
      <c r="T38"/>
      <c r="U38"/>
      <c r="V38"/>
      <c r="W38"/>
      <c r="X38"/>
      <c r="Y38"/>
      <c r="Z38"/>
      <c r="AA38"/>
      <c r="AB38"/>
      <c r="AC38"/>
    </row>
    <row r="39" spans="1:29" x14ac:dyDescent="0.25">
      <c r="A39"/>
      <c r="B39"/>
      <c r="C39" s="92"/>
      <c r="L39" s="92"/>
      <c r="M39" s="92"/>
      <c r="Q39" s="115"/>
      <c r="R39" s="92"/>
      <c r="S39"/>
      <c r="T39"/>
      <c r="U39"/>
      <c r="V39"/>
      <c r="W39"/>
      <c r="X39"/>
      <c r="Y39"/>
      <c r="Z39"/>
      <c r="AA39"/>
      <c r="AB39"/>
      <c r="AC39"/>
    </row>
    <row r="40" spans="1:29" x14ac:dyDescent="0.25">
      <c r="A40"/>
      <c r="B40"/>
      <c r="C40" s="92"/>
      <c r="L40" s="92"/>
      <c r="M40" s="92"/>
      <c r="Q40" s="115"/>
      <c r="R40" s="92"/>
      <c r="S40"/>
      <c r="T40"/>
      <c r="U40"/>
      <c r="V40"/>
      <c r="W40"/>
      <c r="X40"/>
      <c r="Y40"/>
      <c r="Z40"/>
      <c r="AA40"/>
      <c r="AB40"/>
      <c r="AC40"/>
    </row>
    <row r="41" spans="1:29" x14ac:dyDescent="0.25">
      <c r="A41"/>
      <c r="B41"/>
      <c r="C41" s="92"/>
      <c r="L41" s="92"/>
      <c r="M41" s="92"/>
      <c r="Q41" s="115"/>
      <c r="R41" s="92"/>
      <c r="S41"/>
      <c r="T41"/>
      <c r="U41"/>
      <c r="V41"/>
      <c r="W41"/>
      <c r="X41"/>
      <c r="Y41"/>
      <c r="Z41"/>
      <c r="AA41"/>
      <c r="AB41"/>
      <c r="AC41"/>
    </row>
    <row r="42" spans="1:29" x14ac:dyDescent="0.25">
      <c r="A42"/>
      <c r="B42"/>
      <c r="C42" s="92"/>
      <c r="L42" s="92"/>
      <c r="M42" s="92"/>
      <c r="Q42" s="115"/>
      <c r="R42" s="92"/>
      <c r="S42"/>
      <c r="T42"/>
      <c r="U42"/>
      <c r="V42"/>
      <c r="W42"/>
      <c r="X42"/>
      <c r="Y42"/>
      <c r="Z42"/>
      <c r="AA42"/>
      <c r="AB42"/>
      <c r="AC42"/>
    </row>
    <row r="43" spans="1:29" x14ac:dyDescent="0.25">
      <c r="A43"/>
      <c r="B43"/>
      <c r="C43" s="92"/>
      <c r="L43" s="92"/>
      <c r="M43" s="92"/>
      <c r="Q43" s="115"/>
      <c r="R43" s="92"/>
      <c r="S43"/>
      <c r="T43"/>
      <c r="U43"/>
      <c r="V43"/>
      <c r="W43"/>
      <c r="X43"/>
      <c r="Y43"/>
      <c r="Z43"/>
      <c r="AA43"/>
      <c r="AB43"/>
      <c r="AC43"/>
    </row>
    <row r="44" spans="1:29" x14ac:dyDescent="0.25">
      <c r="A44"/>
      <c r="B44"/>
      <c r="C44" s="92"/>
      <c r="L44" s="92"/>
      <c r="M44" s="92"/>
      <c r="Q44" s="115"/>
      <c r="R44" s="92"/>
      <c r="S44"/>
      <c r="T44"/>
      <c r="U44"/>
      <c r="V44"/>
      <c r="W44"/>
      <c r="X44"/>
      <c r="Y44"/>
      <c r="Z44"/>
      <c r="AA44"/>
      <c r="AB44"/>
      <c r="AC44"/>
    </row>
    <row r="45" spans="1:29" x14ac:dyDescent="0.25">
      <c r="A45"/>
      <c r="B45"/>
      <c r="C45" s="92"/>
      <c r="L45" s="92"/>
      <c r="M45" s="92"/>
      <c r="Q45" s="115"/>
      <c r="R45" s="92"/>
      <c r="S45"/>
      <c r="T45"/>
      <c r="U45"/>
      <c r="V45"/>
      <c r="W45"/>
      <c r="X45"/>
      <c r="Y45"/>
      <c r="Z45"/>
      <c r="AA45"/>
      <c r="AB45"/>
      <c r="AC45"/>
    </row>
    <row r="46" spans="1:29" x14ac:dyDescent="0.25">
      <c r="A46"/>
      <c r="B46"/>
      <c r="C46" s="92"/>
      <c r="L46" s="92"/>
      <c r="M46" s="92"/>
      <c r="Q46" s="115"/>
      <c r="R46" s="92"/>
      <c r="S46"/>
      <c r="T46"/>
      <c r="U46"/>
      <c r="V46"/>
      <c r="W46"/>
      <c r="X46"/>
      <c r="Y46"/>
      <c r="Z46"/>
      <c r="AA46"/>
      <c r="AB46"/>
      <c r="AC46"/>
    </row>
    <row r="47" spans="1:29" x14ac:dyDescent="0.25">
      <c r="A47"/>
      <c r="B47"/>
      <c r="C47" s="92"/>
      <c r="L47" s="92"/>
      <c r="M47" s="92"/>
      <c r="Q47" s="115"/>
      <c r="R47" s="92"/>
      <c r="S47"/>
      <c r="T47"/>
      <c r="U47"/>
      <c r="V47"/>
      <c r="W47"/>
      <c r="X47"/>
      <c r="Y47"/>
      <c r="Z47"/>
      <c r="AA47"/>
      <c r="AB47"/>
      <c r="AC47"/>
    </row>
    <row r="48" spans="1:29" x14ac:dyDescent="0.25">
      <c r="A48"/>
      <c r="B48"/>
      <c r="C48" s="92"/>
      <c r="L48" s="92"/>
      <c r="M48" s="92"/>
      <c r="Q48" s="115"/>
      <c r="R48" s="92"/>
      <c r="S48"/>
      <c r="T48"/>
      <c r="U48"/>
      <c r="V48"/>
      <c r="W48"/>
      <c r="X48"/>
      <c r="Y48"/>
      <c r="Z48"/>
      <c r="AA48"/>
      <c r="AB48"/>
      <c r="AC48"/>
    </row>
    <row r="49" spans="1:29" x14ac:dyDescent="0.25">
      <c r="A49"/>
      <c r="B49"/>
      <c r="C49" s="92"/>
      <c r="L49" s="92"/>
      <c r="M49" s="92"/>
      <c r="Q49" s="115"/>
      <c r="R49" s="92"/>
      <c r="S49"/>
      <c r="T49"/>
      <c r="U49"/>
      <c r="V49"/>
      <c r="W49"/>
      <c r="X49"/>
      <c r="Y49"/>
      <c r="Z49"/>
      <c r="AA49"/>
      <c r="AB49"/>
      <c r="AC49"/>
    </row>
    <row r="50" spans="1:29" x14ac:dyDescent="0.25">
      <c r="A50"/>
      <c r="B50"/>
      <c r="C50" s="92"/>
      <c r="L50" s="92"/>
      <c r="M50" s="92"/>
      <c r="Q50" s="115"/>
      <c r="R50" s="92"/>
      <c r="S50"/>
      <c r="T50"/>
      <c r="U50"/>
      <c r="V50"/>
      <c r="W50"/>
      <c r="X50"/>
      <c r="Y50"/>
      <c r="Z50"/>
      <c r="AA50"/>
      <c r="AB50"/>
      <c r="AC50"/>
    </row>
    <row r="51" spans="1:29" x14ac:dyDescent="0.25">
      <c r="A51"/>
      <c r="B51"/>
      <c r="C51" s="92"/>
      <c r="L51" s="92"/>
      <c r="M51" s="92"/>
      <c r="Q51" s="115"/>
      <c r="R51" s="92"/>
      <c r="S51"/>
      <c r="T51"/>
      <c r="U51"/>
      <c r="V51"/>
      <c r="W51"/>
      <c r="X51"/>
      <c r="Y51"/>
      <c r="Z51"/>
      <c r="AA51"/>
      <c r="AB51"/>
      <c r="AC51"/>
    </row>
    <row r="52" spans="1:29" x14ac:dyDescent="0.25">
      <c r="A52"/>
      <c r="B52"/>
      <c r="C52" s="92"/>
      <c r="L52" s="92"/>
      <c r="M52" s="92"/>
      <c r="Q52" s="115"/>
      <c r="R52" s="92"/>
      <c r="S52"/>
      <c r="T52"/>
      <c r="U52"/>
      <c r="V52"/>
      <c r="W52"/>
      <c r="X52"/>
      <c r="Y52"/>
      <c r="Z52"/>
      <c r="AA52"/>
      <c r="AB52"/>
      <c r="AC52"/>
    </row>
    <row r="53" spans="1:29" x14ac:dyDescent="0.25">
      <c r="A53"/>
      <c r="B53"/>
      <c r="C53" s="92"/>
      <c r="L53" s="92"/>
      <c r="M53" s="92"/>
      <c r="Q53" s="115"/>
      <c r="R53" s="92"/>
      <c r="S53"/>
      <c r="T53"/>
      <c r="U53"/>
      <c r="V53"/>
      <c r="W53"/>
      <c r="X53"/>
      <c r="Y53"/>
      <c r="Z53"/>
      <c r="AA53"/>
      <c r="AB53"/>
      <c r="AC53"/>
    </row>
    <row r="54" spans="1:29" x14ac:dyDescent="0.25">
      <c r="A54"/>
      <c r="B54"/>
      <c r="C54" s="92"/>
      <c r="L54" s="92"/>
      <c r="M54" s="92"/>
      <c r="Q54" s="115"/>
      <c r="R54" s="92"/>
      <c r="S54"/>
      <c r="T54"/>
      <c r="U54"/>
      <c r="V54"/>
      <c r="W54"/>
      <c r="X54"/>
      <c r="Y54"/>
      <c r="Z54"/>
      <c r="AA54"/>
      <c r="AB54"/>
      <c r="AC54"/>
    </row>
    <row r="55" spans="1:29" x14ac:dyDescent="0.25">
      <c r="A55"/>
      <c r="B55"/>
      <c r="C55" s="92"/>
      <c r="L55" s="92"/>
      <c r="M55" s="92"/>
      <c r="Q55" s="115"/>
      <c r="R55" s="92"/>
      <c r="S55"/>
      <c r="T55"/>
      <c r="U55"/>
      <c r="V55"/>
      <c r="W55"/>
      <c r="X55"/>
      <c r="Y55"/>
      <c r="Z55"/>
      <c r="AA55"/>
      <c r="AB55"/>
      <c r="AC55"/>
    </row>
    <row r="56" spans="1:29" x14ac:dyDescent="0.25">
      <c r="A56"/>
      <c r="B56"/>
      <c r="C56" s="92"/>
      <c r="L56" s="92"/>
      <c r="M56" s="92"/>
      <c r="Q56" s="115"/>
      <c r="R56" s="92"/>
      <c r="S56"/>
      <c r="T56"/>
      <c r="U56"/>
      <c r="V56"/>
      <c r="W56"/>
      <c r="X56"/>
      <c r="Y56"/>
      <c r="Z56"/>
      <c r="AA56"/>
      <c r="AB56"/>
      <c r="AC56"/>
    </row>
    <row r="57" spans="1:29" x14ac:dyDescent="0.25">
      <c r="A57"/>
      <c r="B57"/>
      <c r="C57" s="92"/>
      <c r="L57" s="92"/>
      <c r="M57" s="92"/>
      <c r="Q57" s="115"/>
      <c r="R57" s="92"/>
      <c r="S57"/>
      <c r="T57"/>
      <c r="U57"/>
      <c r="V57"/>
      <c r="W57"/>
      <c r="X57"/>
      <c r="Y57"/>
      <c r="Z57"/>
      <c r="AA57"/>
      <c r="AB57"/>
      <c r="AC57"/>
    </row>
    <row r="58" spans="1:29" x14ac:dyDescent="0.25">
      <c r="A58"/>
      <c r="B58"/>
      <c r="C58" s="92"/>
      <c r="L58" s="92"/>
      <c r="M58" s="92"/>
      <c r="Q58" s="115"/>
      <c r="R58" s="92"/>
      <c r="S58"/>
      <c r="T58"/>
      <c r="U58"/>
      <c r="V58"/>
      <c r="W58"/>
      <c r="X58"/>
      <c r="Y58"/>
      <c r="Z58"/>
      <c r="AA58"/>
      <c r="AB58"/>
      <c r="AC58"/>
    </row>
    <row r="59" spans="1:29" x14ac:dyDescent="0.25">
      <c r="A59"/>
      <c r="B59"/>
      <c r="C59" s="92"/>
      <c r="L59" s="92"/>
      <c r="M59" s="92"/>
      <c r="Q59" s="115"/>
      <c r="R59" s="92"/>
      <c r="S59"/>
      <c r="T59"/>
      <c r="U59"/>
      <c r="V59"/>
      <c r="W59"/>
      <c r="X59"/>
      <c r="Y59"/>
      <c r="Z59"/>
      <c r="AA59"/>
      <c r="AB59"/>
      <c r="AC59"/>
    </row>
    <row r="60" spans="1:29" x14ac:dyDescent="0.25">
      <c r="A60"/>
      <c r="B60"/>
      <c r="C60" s="92"/>
      <c r="L60" s="92"/>
      <c r="M60" s="92"/>
      <c r="Q60" s="115"/>
      <c r="R60" s="92"/>
      <c r="S60"/>
      <c r="T60"/>
      <c r="U60"/>
      <c r="V60"/>
      <c r="W60"/>
      <c r="X60"/>
      <c r="Y60"/>
      <c r="Z60"/>
      <c r="AA60"/>
      <c r="AB60"/>
      <c r="AC60"/>
    </row>
    <row r="61" spans="1:29" x14ac:dyDescent="0.25">
      <c r="A61"/>
      <c r="B61"/>
      <c r="C61" s="92"/>
      <c r="L61" s="92"/>
      <c r="M61" s="92"/>
      <c r="Q61" s="115"/>
      <c r="R61" s="92"/>
      <c r="S61"/>
      <c r="T61"/>
      <c r="U61"/>
      <c r="V61"/>
      <c r="W61"/>
      <c r="X61"/>
      <c r="Y61"/>
      <c r="Z61"/>
      <c r="AA61"/>
      <c r="AB61"/>
      <c r="AC61"/>
    </row>
    <row r="62" spans="1:29" x14ac:dyDescent="0.25">
      <c r="A62"/>
      <c r="B62"/>
      <c r="C62" s="92"/>
      <c r="L62" s="92"/>
      <c r="M62" s="92"/>
      <c r="Q62" s="115"/>
      <c r="R62" s="92"/>
      <c r="S62"/>
      <c r="T62"/>
      <c r="U62"/>
      <c r="V62"/>
      <c r="W62"/>
      <c r="X62"/>
      <c r="Y62"/>
      <c r="Z62"/>
      <c r="AA62"/>
      <c r="AB62"/>
      <c r="AC62"/>
    </row>
    <row r="63" spans="1:29" x14ac:dyDescent="0.25">
      <c r="A63"/>
      <c r="B63"/>
      <c r="C63" s="92"/>
      <c r="L63" s="92"/>
      <c r="M63" s="92"/>
      <c r="Q63" s="115"/>
      <c r="R63" s="92"/>
      <c r="S63"/>
      <c r="T63"/>
      <c r="U63"/>
      <c r="V63"/>
      <c r="W63"/>
      <c r="X63"/>
      <c r="Y63"/>
      <c r="Z63"/>
      <c r="AA63"/>
      <c r="AB63"/>
      <c r="AC63"/>
    </row>
    <row r="64" spans="1:29" x14ac:dyDescent="0.25">
      <c r="A64"/>
      <c r="B64"/>
      <c r="C64" s="92"/>
      <c r="L64" s="92"/>
      <c r="M64" s="92"/>
      <c r="Q64" s="115"/>
      <c r="R64" s="92"/>
      <c r="S64"/>
      <c r="T64"/>
      <c r="U64"/>
      <c r="V64"/>
      <c r="W64"/>
      <c r="X64"/>
      <c r="Y64"/>
      <c r="Z64"/>
      <c r="AA64"/>
      <c r="AB64"/>
      <c r="AC64"/>
    </row>
    <row r="65" spans="1:29" x14ac:dyDescent="0.25">
      <c r="A65"/>
      <c r="B65"/>
      <c r="C65" s="92"/>
      <c r="L65" s="92"/>
      <c r="M65" s="92"/>
      <c r="Q65" s="115"/>
      <c r="R65" s="92"/>
      <c r="S65"/>
      <c r="T65"/>
      <c r="U65"/>
      <c r="V65"/>
      <c r="W65"/>
      <c r="X65"/>
      <c r="Y65"/>
      <c r="Z65"/>
      <c r="AA65"/>
      <c r="AB65"/>
      <c r="AC65"/>
    </row>
    <row r="66" spans="1:29" x14ac:dyDescent="0.25">
      <c r="A66"/>
      <c r="B66"/>
      <c r="C66" s="92"/>
      <c r="L66" s="92"/>
      <c r="M66" s="92"/>
      <c r="Q66" s="115"/>
      <c r="R66" s="92"/>
      <c r="S66"/>
      <c r="T66"/>
      <c r="U66"/>
      <c r="V66"/>
      <c r="W66"/>
      <c r="X66"/>
      <c r="Y66"/>
      <c r="Z66"/>
      <c r="AA66"/>
      <c r="AB66"/>
      <c r="AC66"/>
    </row>
    <row r="67" spans="1:29" x14ac:dyDescent="0.25">
      <c r="A67"/>
      <c r="B67"/>
      <c r="C67" s="92"/>
      <c r="L67" s="92"/>
      <c r="M67" s="92"/>
      <c r="Q67" s="115"/>
      <c r="R67" s="92"/>
      <c r="S67"/>
      <c r="T67"/>
      <c r="U67"/>
      <c r="V67"/>
      <c r="W67"/>
      <c r="X67"/>
      <c r="Y67"/>
      <c r="Z67"/>
      <c r="AA67"/>
      <c r="AB67"/>
      <c r="AC67"/>
    </row>
    <row r="68" spans="1:29" x14ac:dyDescent="0.25">
      <c r="A68"/>
      <c r="B68"/>
      <c r="C68" s="92"/>
      <c r="L68" s="92"/>
      <c r="M68" s="92"/>
      <c r="Q68" s="115"/>
      <c r="R68" s="92"/>
      <c r="S68"/>
      <c r="T68"/>
      <c r="U68"/>
      <c r="V68"/>
      <c r="W68"/>
      <c r="X68"/>
      <c r="Y68"/>
      <c r="Z68"/>
      <c r="AA68"/>
      <c r="AB68"/>
      <c r="AC68"/>
    </row>
    <row r="69" spans="1:29" x14ac:dyDescent="0.25">
      <c r="A69"/>
      <c r="B69"/>
      <c r="C69" s="92"/>
      <c r="L69" s="92"/>
      <c r="M69" s="92"/>
      <c r="Q69" s="115"/>
      <c r="R69" s="92"/>
      <c r="S69"/>
      <c r="T69"/>
      <c r="U69"/>
      <c r="V69"/>
      <c r="W69"/>
      <c r="X69"/>
      <c r="Y69"/>
      <c r="Z69"/>
      <c r="AA69"/>
      <c r="AB69"/>
      <c r="AC69"/>
    </row>
    <row r="70" spans="1:29" x14ac:dyDescent="0.25">
      <c r="A70"/>
      <c r="B70"/>
      <c r="C70" s="92"/>
      <c r="L70" s="92"/>
      <c r="M70" s="92"/>
      <c r="Q70" s="115"/>
      <c r="R70" s="92"/>
      <c r="S70"/>
      <c r="T70"/>
      <c r="U70"/>
      <c r="V70"/>
      <c r="W70"/>
      <c r="X70"/>
      <c r="Y70"/>
      <c r="Z70"/>
      <c r="AA70"/>
      <c r="AB70"/>
      <c r="AC70"/>
    </row>
    <row r="71" spans="1:29" x14ac:dyDescent="0.25">
      <c r="A71"/>
      <c r="B71"/>
      <c r="C71" s="92"/>
      <c r="L71" s="92"/>
      <c r="M71" s="92"/>
      <c r="Q71" s="115"/>
      <c r="R71" s="92"/>
      <c r="S71"/>
      <c r="T71"/>
      <c r="U71"/>
      <c r="V71"/>
      <c r="W71"/>
      <c r="X71"/>
      <c r="Y71"/>
      <c r="Z71"/>
      <c r="AA71"/>
      <c r="AB71"/>
      <c r="AC71"/>
    </row>
    <row r="72" spans="1:29" x14ac:dyDescent="0.25">
      <c r="A72"/>
      <c r="B72"/>
      <c r="C72" s="92"/>
      <c r="L72" s="92"/>
      <c r="M72" s="92"/>
      <c r="Q72" s="115"/>
      <c r="R72" s="92"/>
      <c r="S72"/>
      <c r="T72"/>
      <c r="U72"/>
      <c r="V72"/>
      <c r="W72"/>
      <c r="X72"/>
      <c r="Y72"/>
      <c r="Z72"/>
      <c r="AA72"/>
      <c r="AB72"/>
      <c r="AC72"/>
    </row>
    <row r="73" spans="1:29" x14ac:dyDescent="0.25">
      <c r="A73"/>
      <c r="B73"/>
      <c r="C73" s="92"/>
      <c r="L73" s="92"/>
      <c r="M73" s="92"/>
      <c r="Q73" s="115"/>
      <c r="R73" s="92"/>
      <c r="S73"/>
      <c r="T73"/>
      <c r="U73"/>
      <c r="V73"/>
      <c r="W73"/>
      <c r="X73"/>
      <c r="Y73"/>
      <c r="Z73"/>
      <c r="AA73"/>
      <c r="AB73"/>
      <c r="AC73"/>
    </row>
    <row r="74" spans="1:29" x14ac:dyDescent="0.25">
      <c r="A74"/>
      <c r="B74"/>
      <c r="C74" s="92"/>
      <c r="L74" s="92"/>
      <c r="M74" s="92"/>
      <c r="Q74" s="115"/>
      <c r="R74" s="92"/>
      <c r="S74"/>
      <c r="T74"/>
      <c r="U74"/>
      <c r="V74"/>
      <c r="W74"/>
      <c r="X74"/>
      <c r="Y74"/>
      <c r="Z74"/>
      <c r="AA74"/>
      <c r="AB74"/>
      <c r="AC74"/>
    </row>
    <row r="75" spans="1:29" x14ac:dyDescent="0.25">
      <c r="A75"/>
      <c r="B75"/>
      <c r="C75" s="92"/>
      <c r="L75" s="92"/>
      <c r="M75" s="92"/>
      <c r="Q75" s="115"/>
      <c r="R75" s="92"/>
      <c r="S75"/>
      <c r="T75"/>
      <c r="U75"/>
      <c r="V75"/>
      <c r="W75"/>
      <c r="X75"/>
      <c r="Y75"/>
      <c r="Z75"/>
      <c r="AA75"/>
      <c r="AB75"/>
      <c r="AC75"/>
    </row>
    <row r="76" spans="1:29" x14ac:dyDescent="0.25">
      <c r="A76"/>
      <c r="B76"/>
      <c r="C76" s="92"/>
      <c r="L76" s="92"/>
      <c r="M76" s="92"/>
      <c r="Q76" s="115"/>
      <c r="R76" s="92"/>
      <c r="S76"/>
      <c r="T76"/>
      <c r="U76"/>
      <c r="V76"/>
      <c r="W76"/>
      <c r="X76"/>
      <c r="Y76"/>
      <c r="Z76"/>
      <c r="AA76"/>
      <c r="AB76"/>
      <c r="AC76"/>
    </row>
    <row r="77" spans="1:29" x14ac:dyDescent="0.25">
      <c r="A77"/>
      <c r="B77"/>
      <c r="C77" s="92"/>
      <c r="L77" s="92"/>
      <c r="M77" s="92"/>
      <c r="Q77" s="115"/>
      <c r="R77" s="92"/>
      <c r="S77"/>
      <c r="T77"/>
      <c r="U77"/>
      <c r="V77"/>
      <c r="W77"/>
      <c r="X77"/>
      <c r="Y77"/>
      <c r="Z77"/>
      <c r="AA77"/>
      <c r="AB77"/>
      <c r="AC77"/>
    </row>
    <row r="78" spans="1:29" x14ac:dyDescent="0.25">
      <c r="A78"/>
      <c r="B78"/>
      <c r="C78" s="92"/>
      <c r="L78" s="92"/>
      <c r="M78" s="92"/>
      <c r="Q78" s="115"/>
      <c r="R78" s="92"/>
      <c r="S78"/>
      <c r="T78"/>
      <c r="U78"/>
      <c r="V78"/>
      <c r="W78"/>
      <c r="X78"/>
      <c r="Y78"/>
      <c r="Z78"/>
      <c r="AA78"/>
      <c r="AB78"/>
      <c r="AC78"/>
    </row>
    <row r="79" spans="1:29" x14ac:dyDescent="0.25">
      <c r="A79"/>
      <c r="B79"/>
      <c r="C79" s="92"/>
      <c r="L79" s="92"/>
      <c r="M79" s="92"/>
      <c r="Q79" s="115"/>
      <c r="R79" s="92"/>
      <c r="S79"/>
      <c r="T79"/>
      <c r="U79"/>
      <c r="V79"/>
      <c r="W79"/>
      <c r="X79"/>
      <c r="Y79"/>
      <c r="Z79"/>
      <c r="AA79"/>
      <c r="AB79"/>
      <c r="AC79"/>
    </row>
    <row r="80" spans="1:29" x14ac:dyDescent="0.25">
      <c r="A80"/>
      <c r="B80"/>
      <c r="C80" s="92"/>
      <c r="L80" s="92"/>
      <c r="M80" s="92"/>
      <c r="Q80" s="115"/>
      <c r="R80" s="92"/>
      <c r="S80"/>
      <c r="T80"/>
      <c r="U80"/>
      <c r="V80"/>
      <c r="W80"/>
      <c r="X80"/>
      <c r="Y80"/>
      <c r="Z80"/>
      <c r="AA80"/>
      <c r="AB80"/>
      <c r="AC80"/>
    </row>
    <row r="81" spans="1:29" x14ac:dyDescent="0.25">
      <c r="A81"/>
      <c r="B81"/>
      <c r="C81" s="92"/>
      <c r="L81" s="92"/>
      <c r="M81" s="92"/>
      <c r="Q81" s="115"/>
      <c r="R81" s="92"/>
      <c r="S81"/>
      <c r="T81"/>
      <c r="U81"/>
      <c r="V81"/>
      <c r="W81"/>
      <c r="X81"/>
      <c r="Y81"/>
      <c r="Z81"/>
      <c r="AA81"/>
      <c r="AB81"/>
      <c r="AC81"/>
    </row>
    <row r="82" spans="1:29" x14ac:dyDescent="0.25">
      <c r="A82"/>
      <c r="B82"/>
      <c r="C82" s="92"/>
      <c r="L82" s="92"/>
      <c r="M82" s="92"/>
      <c r="Q82" s="115"/>
      <c r="R82" s="92"/>
      <c r="S82"/>
      <c r="T82"/>
      <c r="U82"/>
      <c r="V82"/>
      <c r="W82"/>
      <c r="X82"/>
      <c r="Y82"/>
      <c r="Z82"/>
      <c r="AA82"/>
      <c r="AB82"/>
      <c r="AC82"/>
    </row>
    <row r="83" spans="1:29" x14ac:dyDescent="0.25">
      <c r="A83"/>
      <c r="B83"/>
      <c r="C83" s="92"/>
      <c r="L83" s="92"/>
      <c r="M83" s="92"/>
      <c r="Q83" s="115"/>
      <c r="R83" s="92"/>
      <c r="S83"/>
      <c r="T83"/>
      <c r="U83"/>
      <c r="V83"/>
      <c r="W83"/>
      <c r="X83"/>
      <c r="Y83"/>
      <c r="Z83"/>
      <c r="AA83"/>
      <c r="AB83"/>
      <c r="AC83"/>
    </row>
    <row r="84" spans="1:29" x14ac:dyDescent="0.25">
      <c r="A84"/>
      <c r="B84"/>
      <c r="C84" s="92"/>
      <c r="L84" s="92"/>
      <c r="M84" s="92"/>
      <c r="Q84" s="115"/>
      <c r="R84" s="92"/>
      <c r="S84"/>
      <c r="T84"/>
      <c r="U84"/>
      <c r="V84"/>
      <c r="W84"/>
      <c r="X84"/>
      <c r="Y84"/>
      <c r="Z84"/>
      <c r="AA84"/>
      <c r="AB84"/>
      <c r="AC84"/>
    </row>
    <row r="85" spans="1:29" x14ac:dyDescent="0.25">
      <c r="A85"/>
      <c r="B85"/>
      <c r="C85" s="92"/>
      <c r="L85" s="92"/>
      <c r="M85" s="92"/>
      <c r="Q85" s="115"/>
      <c r="R85" s="92"/>
      <c r="S85"/>
      <c r="T85"/>
      <c r="U85"/>
      <c r="V85"/>
      <c r="W85"/>
      <c r="X85"/>
      <c r="Y85"/>
      <c r="Z85"/>
      <c r="AA85"/>
      <c r="AB85"/>
      <c r="AC85"/>
    </row>
    <row r="86" spans="1:29" x14ac:dyDescent="0.25">
      <c r="A86"/>
      <c r="B86"/>
      <c r="C86" s="92"/>
      <c r="L86" s="92"/>
      <c r="M86" s="92"/>
      <c r="Q86" s="115"/>
      <c r="R86" s="92"/>
      <c r="S86"/>
      <c r="T86"/>
      <c r="U86"/>
      <c r="V86"/>
      <c r="W86"/>
      <c r="X86"/>
      <c r="Y86"/>
      <c r="Z86"/>
      <c r="AA86"/>
      <c r="AB86"/>
      <c r="AC86"/>
    </row>
    <row r="87" spans="1:29" x14ac:dyDescent="0.25">
      <c r="A87"/>
      <c r="B87"/>
      <c r="C87" s="92"/>
      <c r="L87" s="92"/>
      <c r="M87" s="92"/>
      <c r="Q87" s="115"/>
      <c r="R87" s="92"/>
      <c r="S87"/>
      <c r="T87"/>
      <c r="U87"/>
      <c r="V87"/>
      <c r="W87"/>
      <c r="X87"/>
      <c r="Y87"/>
      <c r="Z87"/>
      <c r="AA87"/>
      <c r="AB87"/>
      <c r="AC87"/>
    </row>
    <row r="88" spans="1:29" x14ac:dyDescent="0.25">
      <c r="A88"/>
      <c r="B88"/>
      <c r="C88" s="92"/>
      <c r="L88" s="92"/>
      <c r="M88" s="92"/>
      <c r="Q88" s="115"/>
      <c r="R88" s="92"/>
      <c r="S88"/>
      <c r="T88"/>
      <c r="U88"/>
      <c r="V88"/>
      <c r="W88"/>
      <c r="X88"/>
      <c r="Y88"/>
      <c r="Z88"/>
      <c r="AA88"/>
      <c r="AB88"/>
      <c r="AC88"/>
    </row>
    <row r="89" spans="1:29" x14ac:dyDescent="0.25">
      <c r="A89"/>
      <c r="B89"/>
      <c r="C89" s="92"/>
      <c r="L89" s="92"/>
      <c r="M89" s="92"/>
      <c r="Q89" s="115"/>
      <c r="R89" s="92"/>
      <c r="S89"/>
      <c r="T89"/>
      <c r="U89"/>
      <c r="V89"/>
      <c r="W89"/>
      <c r="X89"/>
      <c r="Y89"/>
      <c r="Z89"/>
      <c r="AA89"/>
      <c r="AB89"/>
      <c r="AC89"/>
    </row>
    <row r="90" spans="1:29" x14ac:dyDescent="0.25">
      <c r="A90"/>
      <c r="B90"/>
      <c r="C90" s="92"/>
      <c r="L90" s="92"/>
      <c r="M90" s="92"/>
      <c r="Q90" s="115"/>
      <c r="R90" s="92"/>
      <c r="S90"/>
      <c r="T90"/>
      <c r="U90"/>
      <c r="V90"/>
      <c r="W90"/>
      <c r="X90"/>
      <c r="Y90"/>
      <c r="Z90"/>
      <c r="AA90"/>
      <c r="AB90"/>
      <c r="AC90"/>
    </row>
    <row r="91" spans="1:29" x14ac:dyDescent="0.25">
      <c r="A91"/>
      <c r="B91"/>
      <c r="C91" s="92"/>
      <c r="L91" s="92"/>
      <c r="M91" s="92"/>
      <c r="Q91" s="115"/>
      <c r="R91" s="92"/>
      <c r="S91"/>
      <c r="T91"/>
      <c r="U91"/>
      <c r="V91"/>
      <c r="W91"/>
      <c r="X91"/>
      <c r="Y91"/>
      <c r="Z91"/>
      <c r="AA91"/>
      <c r="AB91"/>
      <c r="AC91"/>
    </row>
    <row r="92" spans="1:29" x14ac:dyDescent="0.25">
      <c r="A92"/>
      <c r="B92"/>
      <c r="C92" s="92"/>
      <c r="L92" s="92"/>
      <c r="M92" s="92"/>
      <c r="Q92" s="115"/>
      <c r="R92" s="92"/>
      <c r="S92"/>
      <c r="T92"/>
      <c r="U92"/>
      <c r="V92"/>
      <c r="W92"/>
      <c r="X92"/>
      <c r="Y92"/>
      <c r="Z92"/>
      <c r="AA92"/>
      <c r="AB92"/>
      <c r="AC92"/>
    </row>
    <row r="93" spans="1:29" x14ac:dyDescent="0.25">
      <c r="A93"/>
      <c r="B93"/>
      <c r="C93" s="92"/>
      <c r="L93" s="92"/>
      <c r="M93" s="92"/>
      <c r="Q93" s="115"/>
      <c r="R93" s="92"/>
      <c r="S93"/>
      <c r="T93"/>
      <c r="U93"/>
      <c r="V93"/>
      <c r="W93"/>
      <c r="X93"/>
      <c r="Y93"/>
      <c r="Z93"/>
      <c r="AA93"/>
      <c r="AB93"/>
      <c r="AC93"/>
    </row>
    <row r="94" spans="1:29" x14ac:dyDescent="0.25">
      <c r="A94"/>
      <c r="B94"/>
      <c r="C94" s="92"/>
      <c r="L94" s="92"/>
      <c r="M94" s="92"/>
      <c r="Q94" s="115"/>
      <c r="R94" s="92"/>
      <c r="S94"/>
      <c r="T94"/>
      <c r="U94"/>
      <c r="V94"/>
      <c r="W94"/>
      <c r="X94"/>
      <c r="Y94"/>
      <c r="Z94"/>
      <c r="AA94"/>
      <c r="AB94"/>
      <c r="AC94"/>
    </row>
    <row r="95" spans="1:29" x14ac:dyDescent="0.25">
      <c r="A95"/>
      <c r="B95"/>
      <c r="C95" s="92"/>
      <c r="L95" s="92"/>
      <c r="M95" s="92"/>
      <c r="Q95" s="115"/>
      <c r="R95" s="92"/>
      <c r="S95"/>
      <c r="T95"/>
      <c r="U95"/>
      <c r="V95"/>
      <c r="W95"/>
      <c r="X95"/>
      <c r="Y95"/>
      <c r="Z95"/>
      <c r="AA95"/>
      <c r="AB95"/>
      <c r="AC95"/>
    </row>
    <row r="96" spans="1:29" x14ac:dyDescent="0.25">
      <c r="A96"/>
      <c r="B96"/>
      <c r="C96" s="92"/>
      <c r="L96" s="92"/>
      <c r="M96" s="92"/>
      <c r="Q96" s="115"/>
      <c r="R96" s="92"/>
      <c r="S96"/>
      <c r="T96"/>
      <c r="U96"/>
      <c r="V96"/>
      <c r="W96"/>
      <c r="X96"/>
      <c r="Y96"/>
      <c r="Z96"/>
      <c r="AA96"/>
      <c r="AB96"/>
      <c r="AC96"/>
    </row>
    <row r="97" spans="1:29" x14ac:dyDescent="0.25">
      <c r="A97"/>
      <c r="B97"/>
      <c r="C97" s="92"/>
      <c r="L97" s="92"/>
      <c r="M97" s="92"/>
      <c r="Q97" s="115"/>
      <c r="R97" s="92"/>
      <c r="S97"/>
      <c r="T97"/>
      <c r="U97"/>
      <c r="V97"/>
      <c r="W97"/>
      <c r="X97"/>
      <c r="Y97"/>
      <c r="Z97"/>
      <c r="AA97"/>
      <c r="AB97"/>
      <c r="AC97"/>
    </row>
    <row r="98" spans="1:29" x14ac:dyDescent="0.25">
      <c r="A98"/>
      <c r="B98"/>
      <c r="C98" s="92"/>
      <c r="L98" s="92"/>
      <c r="M98" s="92"/>
      <c r="Q98" s="115"/>
      <c r="R98" s="92"/>
      <c r="S98"/>
      <c r="T98"/>
      <c r="U98"/>
      <c r="V98"/>
      <c r="W98"/>
      <c r="X98"/>
      <c r="Y98"/>
      <c r="Z98"/>
      <c r="AA98"/>
      <c r="AB98"/>
      <c r="AC98"/>
    </row>
    <row r="99" spans="1:29" x14ac:dyDescent="0.25">
      <c r="A99"/>
      <c r="B99"/>
      <c r="C99" s="92"/>
      <c r="L99" s="92"/>
      <c r="M99" s="92"/>
      <c r="Q99" s="115"/>
      <c r="R99" s="92"/>
      <c r="S99"/>
      <c r="T99"/>
      <c r="U99"/>
      <c r="V99"/>
      <c r="W99"/>
      <c r="X99"/>
      <c r="Y99"/>
      <c r="Z99"/>
      <c r="AA99"/>
      <c r="AB99"/>
      <c r="AC99"/>
    </row>
    <row r="100" spans="1:29" x14ac:dyDescent="0.25">
      <c r="A100"/>
      <c r="B100"/>
      <c r="C100" s="92"/>
      <c r="L100" s="92"/>
      <c r="M100" s="92"/>
      <c r="Q100" s="115"/>
      <c r="R100" s="92"/>
      <c r="S100"/>
      <c r="T100"/>
      <c r="U100"/>
      <c r="V100"/>
      <c r="W100"/>
      <c r="X100"/>
      <c r="Y100"/>
      <c r="Z100"/>
      <c r="AA100"/>
      <c r="AB100"/>
      <c r="AC100"/>
    </row>
    <row r="101" spans="1:29" x14ac:dyDescent="0.25">
      <c r="A101"/>
      <c r="B101"/>
      <c r="C101" s="92"/>
      <c r="L101" s="92"/>
      <c r="M101" s="92"/>
      <c r="Q101" s="115"/>
      <c r="R101" s="92"/>
      <c r="S101"/>
      <c r="T101"/>
      <c r="U101"/>
      <c r="V101"/>
      <c r="W101"/>
      <c r="X101"/>
      <c r="Y101"/>
      <c r="Z101"/>
      <c r="AA101"/>
      <c r="AB101"/>
      <c r="AC101"/>
    </row>
    <row r="102" spans="1:29" x14ac:dyDescent="0.25">
      <c r="A102"/>
      <c r="B102"/>
      <c r="C102" s="92"/>
      <c r="L102" s="92"/>
      <c r="M102" s="92"/>
      <c r="Q102" s="115"/>
      <c r="R102" s="92"/>
      <c r="S102"/>
      <c r="T102"/>
      <c r="U102"/>
      <c r="V102"/>
      <c r="W102"/>
      <c r="X102"/>
      <c r="Y102"/>
      <c r="Z102"/>
      <c r="AA102"/>
      <c r="AB102"/>
      <c r="AC102"/>
    </row>
    <row r="103" spans="1:29" x14ac:dyDescent="0.25">
      <c r="A103"/>
      <c r="B103"/>
      <c r="C103" s="92"/>
      <c r="L103" s="92"/>
      <c r="M103" s="92"/>
      <c r="Q103" s="115"/>
      <c r="R103" s="92"/>
      <c r="S103"/>
      <c r="T103"/>
      <c r="U103"/>
      <c r="V103"/>
      <c r="W103"/>
      <c r="X103"/>
      <c r="Y103"/>
      <c r="Z103"/>
      <c r="AA103"/>
      <c r="AB103"/>
      <c r="AC103"/>
    </row>
    <row r="104" spans="1:29" x14ac:dyDescent="0.25">
      <c r="A104"/>
      <c r="B104"/>
      <c r="C104" s="92"/>
      <c r="L104" s="92"/>
      <c r="M104" s="92"/>
      <c r="Q104" s="115"/>
      <c r="R104" s="92"/>
      <c r="S104"/>
      <c r="T104"/>
      <c r="U104"/>
      <c r="V104"/>
      <c r="W104"/>
      <c r="X104"/>
      <c r="Y104"/>
      <c r="Z104"/>
      <c r="AA104"/>
      <c r="AB104"/>
      <c r="AC104"/>
    </row>
    <row r="105" spans="1:29" x14ac:dyDescent="0.25">
      <c r="A105"/>
      <c r="B105"/>
      <c r="C105" s="92"/>
      <c r="L105" s="92"/>
      <c r="M105" s="92"/>
      <c r="Q105" s="115"/>
      <c r="R105" s="92"/>
      <c r="S105"/>
      <c r="T105"/>
      <c r="U105"/>
      <c r="V105"/>
      <c r="W105"/>
      <c r="X105"/>
      <c r="Y105"/>
      <c r="Z105"/>
      <c r="AA105"/>
      <c r="AB105"/>
      <c r="AC105"/>
    </row>
    <row r="106" spans="1:29" x14ac:dyDescent="0.25">
      <c r="A106"/>
      <c r="B106"/>
      <c r="C106" s="92"/>
      <c r="L106" s="92"/>
      <c r="M106" s="92"/>
      <c r="Q106" s="115"/>
      <c r="R106" s="92"/>
      <c r="S106"/>
      <c r="T106"/>
      <c r="U106"/>
      <c r="V106"/>
      <c r="W106"/>
      <c r="X106"/>
      <c r="Y106"/>
      <c r="Z106"/>
      <c r="AA106"/>
      <c r="AB106"/>
      <c r="AC106"/>
    </row>
    <row r="107" spans="1:29" x14ac:dyDescent="0.25">
      <c r="A107"/>
      <c r="B107"/>
      <c r="C107" s="92"/>
      <c r="L107" s="92"/>
      <c r="M107" s="92"/>
      <c r="Q107" s="115"/>
      <c r="R107" s="92"/>
      <c r="S107"/>
      <c r="T107"/>
      <c r="U107"/>
      <c r="V107"/>
      <c r="W107"/>
      <c r="X107"/>
      <c r="Y107"/>
      <c r="Z107"/>
      <c r="AA107"/>
      <c r="AB107"/>
      <c r="AC107"/>
    </row>
    <row r="108" spans="1:29" x14ac:dyDescent="0.25">
      <c r="A108"/>
      <c r="B108"/>
      <c r="C108" s="92"/>
      <c r="L108" s="92"/>
      <c r="M108" s="92"/>
      <c r="Q108" s="115"/>
      <c r="R108" s="92"/>
      <c r="S108"/>
      <c r="T108"/>
      <c r="U108"/>
      <c r="V108"/>
      <c r="W108"/>
      <c r="X108"/>
      <c r="Y108"/>
      <c r="Z108"/>
      <c r="AA108"/>
      <c r="AB108"/>
      <c r="AC108"/>
    </row>
    <row r="109" spans="1:29" x14ac:dyDescent="0.25">
      <c r="A109"/>
      <c r="B109"/>
      <c r="C109" s="92"/>
      <c r="L109" s="92"/>
      <c r="M109" s="92"/>
      <c r="Q109" s="115"/>
      <c r="R109" s="92"/>
      <c r="S109"/>
      <c r="T109"/>
      <c r="U109"/>
      <c r="V109"/>
      <c r="W109"/>
      <c r="X109"/>
      <c r="Y109"/>
      <c r="Z109"/>
      <c r="AA109"/>
      <c r="AB109"/>
      <c r="AC109"/>
    </row>
    <row r="110" spans="1:29" x14ac:dyDescent="0.25">
      <c r="A110"/>
      <c r="B110"/>
      <c r="C110" s="92"/>
      <c r="L110" s="92"/>
      <c r="M110" s="92"/>
      <c r="Q110" s="115"/>
      <c r="R110" s="92"/>
      <c r="S110"/>
      <c r="T110"/>
      <c r="U110"/>
      <c r="V110"/>
      <c r="W110"/>
      <c r="X110"/>
      <c r="Y110"/>
      <c r="Z110"/>
      <c r="AA110"/>
      <c r="AB110"/>
      <c r="AC110"/>
    </row>
    <row r="111" spans="1:29" x14ac:dyDescent="0.25">
      <c r="A111"/>
      <c r="B111"/>
      <c r="C111" s="92"/>
      <c r="L111" s="92"/>
      <c r="M111" s="92"/>
      <c r="Q111" s="115"/>
      <c r="R111" s="92"/>
      <c r="S111"/>
      <c r="T111"/>
      <c r="U111"/>
      <c r="V111"/>
      <c r="W111"/>
      <c r="X111"/>
      <c r="Y111"/>
      <c r="Z111"/>
      <c r="AA111"/>
      <c r="AB111"/>
      <c r="AC111"/>
    </row>
    <row r="112" spans="1:29" x14ac:dyDescent="0.25">
      <c r="A112"/>
      <c r="B112"/>
      <c r="C112" s="92"/>
      <c r="L112" s="92"/>
      <c r="M112" s="92"/>
      <c r="Q112" s="115"/>
      <c r="R112" s="92"/>
      <c r="S112"/>
      <c r="T112"/>
      <c r="U112"/>
      <c r="V112"/>
      <c r="W112"/>
      <c r="X112"/>
      <c r="Y112"/>
      <c r="Z112"/>
      <c r="AA112"/>
      <c r="AB112"/>
      <c r="AC112"/>
    </row>
    <row r="113" spans="1:29" x14ac:dyDescent="0.25">
      <c r="A113"/>
      <c r="B113"/>
      <c r="C113" s="92"/>
      <c r="L113" s="92"/>
      <c r="M113" s="92"/>
      <c r="Q113" s="115"/>
      <c r="R113" s="92"/>
      <c r="S113"/>
      <c r="T113"/>
      <c r="U113"/>
      <c r="V113"/>
      <c r="W113"/>
      <c r="X113"/>
      <c r="Y113"/>
      <c r="Z113"/>
      <c r="AA113"/>
      <c r="AB113"/>
      <c r="AC113"/>
    </row>
    <row r="114" spans="1:29" x14ac:dyDescent="0.25">
      <c r="A114"/>
      <c r="B114"/>
      <c r="C114" s="92"/>
      <c r="L114" s="92"/>
      <c r="M114" s="92"/>
      <c r="Q114" s="115"/>
      <c r="R114" s="92"/>
      <c r="S114"/>
      <c r="T114"/>
      <c r="U114"/>
      <c r="V114"/>
      <c r="W114"/>
      <c r="X114"/>
      <c r="Y114"/>
      <c r="Z114"/>
      <c r="AA114"/>
      <c r="AB114"/>
      <c r="AC114"/>
    </row>
    <row r="115" spans="1:29" x14ac:dyDescent="0.25">
      <c r="A115"/>
      <c r="B115"/>
      <c r="C115" s="92"/>
      <c r="L115" s="92"/>
      <c r="M115" s="92"/>
      <c r="Q115" s="115"/>
      <c r="R115" s="92"/>
      <c r="S115"/>
      <c r="T115"/>
      <c r="U115"/>
      <c r="V115"/>
      <c r="W115"/>
      <c r="X115"/>
      <c r="Y115"/>
      <c r="Z115"/>
      <c r="AA115"/>
      <c r="AB115"/>
      <c r="AC115"/>
    </row>
    <row r="116" spans="1:29" x14ac:dyDescent="0.25">
      <c r="A116"/>
      <c r="B116"/>
      <c r="C116" s="92"/>
      <c r="L116" s="92"/>
      <c r="M116" s="92"/>
      <c r="Q116" s="115"/>
      <c r="R116" s="92"/>
      <c r="S116"/>
      <c r="T116"/>
      <c r="U116"/>
      <c r="V116"/>
      <c r="W116"/>
      <c r="X116"/>
      <c r="Y116"/>
      <c r="Z116"/>
      <c r="AA116"/>
      <c r="AB116"/>
      <c r="AC116"/>
    </row>
    <row r="117" spans="1:29" x14ac:dyDescent="0.25">
      <c r="A117"/>
      <c r="B117"/>
      <c r="C117" s="92"/>
      <c r="L117" s="92"/>
      <c r="M117" s="92"/>
      <c r="Q117" s="115"/>
      <c r="R117" s="92"/>
      <c r="S117"/>
      <c r="T117"/>
      <c r="U117"/>
      <c r="V117"/>
      <c r="W117"/>
      <c r="X117"/>
      <c r="Y117"/>
      <c r="Z117"/>
      <c r="AA117"/>
      <c r="AB117"/>
      <c r="AC117"/>
    </row>
    <row r="118" spans="1:29" x14ac:dyDescent="0.25">
      <c r="A118"/>
      <c r="B118"/>
      <c r="C118" s="92"/>
      <c r="L118" s="92"/>
      <c r="M118" s="92"/>
      <c r="Q118" s="115"/>
      <c r="R118" s="92"/>
      <c r="S118"/>
      <c r="T118"/>
      <c r="U118"/>
      <c r="V118"/>
      <c r="W118"/>
      <c r="X118"/>
      <c r="Y118"/>
      <c r="Z118"/>
      <c r="AA118"/>
      <c r="AB118"/>
      <c r="AC118"/>
    </row>
    <row r="119" spans="1:29" x14ac:dyDescent="0.25">
      <c r="A119"/>
      <c r="B119"/>
      <c r="C119" s="92"/>
      <c r="L119" s="92"/>
      <c r="M119" s="92"/>
      <c r="Q119" s="115"/>
      <c r="R119" s="92"/>
      <c r="S119"/>
      <c r="T119"/>
      <c r="U119"/>
      <c r="V119"/>
      <c r="W119"/>
      <c r="X119"/>
      <c r="Y119"/>
      <c r="Z119"/>
      <c r="AA119"/>
      <c r="AB119"/>
      <c r="AC119"/>
    </row>
    <row r="120" spans="1:29" x14ac:dyDescent="0.25">
      <c r="A120"/>
      <c r="B120"/>
      <c r="C120" s="92"/>
      <c r="L120" s="92"/>
      <c r="M120" s="92"/>
      <c r="Q120" s="115"/>
      <c r="R120" s="92"/>
      <c r="S120"/>
      <c r="T120"/>
      <c r="U120"/>
      <c r="V120"/>
      <c r="W120"/>
      <c r="X120"/>
      <c r="Y120"/>
      <c r="Z120"/>
      <c r="AA120"/>
      <c r="AB120"/>
      <c r="AC120"/>
    </row>
    <row r="121" spans="1:29" x14ac:dyDescent="0.25">
      <c r="A121"/>
      <c r="B121"/>
      <c r="C121" s="92"/>
      <c r="L121" s="92"/>
      <c r="M121" s="92"/>
      <c r="Q121" s="115"/>
      <c r="R121" s="92"/>
      <c r="S121"/>
      <c r="T121"/>
      <c r="U121"/>
      <c r="V121"/>
      <c r="W121"/>
      <c r="X121"/>
      <c r="Y121"/>
      <c r="Z121"/>
      <c r="AA121"/>
      <c r="AB121"/>
      <c r="AC121"/>
    </row>
    <row r="122" spans="1:29" x14ac:dyDescent="0.25">
      <c r="A122"/>
      <c r="B122"/>
      <c r="C122" s="92"/>
      <c r="L122" s="92"/>
      <c r="M122" s="92"/>
      <c r="Q122" s="115"/>
      <c r="R122" s="92"/>
      <c r="S122"/>
      <c r="T122"/>
      <c r="U122"/>
      <c r="V122"/>
      <c r="W122"/>
      <c r="X122"/>
      <c r="Y122"/>
      <c r="Z122"/>
      <c r="AA122"/>
      <c r="AB122"/>
      <c r="AC122"/>
    </row>
    <row r="123" spans="1:29" x14ac:dyDescent="0.25">
      <c r="A123"/>
      <c r="B123"/>
      <c r="C123" s="92"/>
      <c r="L123" s="92"/>
      <c r="M123" s="92"/>
      <c r="Q123" s="115"/>
      <c r="R123" s="92"/>
      <c r="S123"/>
      <c r="T123"/>
      <c r="U123"/>
      <c r="V123"/>
      <c r="W123"/>
      <c r="X123"/>
      <c r="Y123"/>
      <c r="Z123"/>
      <c r="AA123"/>
      <c r="AB123"/>
      <c r="AC123"/>
    </row>
    <row r="124" spans="1:29" x14ac:dyDescent="0.25">
      <c r="A124"/>
      <c r="B124"/>
      <c r="C124" s="92"/>
      <c r="L124" s="92"/>
      <c r="M124" s="92"/>
      <c r="Q124" s="115"/>
      <c r="R124" s="92"/>
      <c r="S124"/>
      <c r="T124"/>
      <c r="U124"/>
      <c r="V124"/>
      <c r="W124"/>
      <c r="X124"/>
      <c r="Y124"/>
      <c r="Z124"/>
      <c r="AA124"/>
      <c r="AB124"/>
      <c r="AC124"/>
    </row>
    <row r="125" spans="1:29" x14ac:dyDescent="0.25">
      <c r="A125"/>
      <c r="B125"/>
      <c r="C125" s="92"/>
      <c r="L125" s="92"/>
      <c r="M125" s="92"/>
      <c r="Q125" s="115"/>
      <c r="R125" s="92"/>
      <c r="S125"/>
      <c r="T125"/>
      <c r="U125"/>
      <c r="V125"/>
      <c r="W125"/>
      <c r="X125"/>
      <c r="Y125"/>
      <c r="Z125"/>
      <c r="AA125"/>
      <c r="AB125"/>
      <c r="AC125"/>
    </row>
    <row r="126" spans="1:29" x14ac:dyDescent="0.25">
      <c r="A126"/>
      <c r="B126"/>
      <c r="C126" s="92"/>
      <c r="L126" s="92"/>
      <c r="M126" s="92"/>
      <c r="Q126" s="115"/>
      <c r="R126" s="92"/>
      <c r="S126"/>
      <c r="T126"/>
      <c r="U126"/>
      <c r="V126"/>
      <c r="W126"/>
      <c r="X126"/>
      <c r="Y126"/>
      <c r="Z126"/>
      <c r="AA126"/>
      <c r="AB126"/>
      <c r="AC126"/>
    </row>
    <row r="127" spans="1:29" x14ac:dyDescent="0.25">
      <c r="A127"/>
      <c r="B127"/>
      <c r="C127" s="92"/>
      <c r="L127" s="92"/>
      <c r="M127" s="92"/>
      <c r="Q127" s="115"/>
      <c r="R127" s="92"/>
      <c r="S127"/>
      <c r="T127"/>
      <c r="U127"/>
      <c r="V127"/>
      <c r="W127"/>
      <c r="X127"/>
      <c r="Y127"/>
      <c r="Z127"/>
      <c r="AA127"/>
      <c r="AB127"/>
      <c r="AC127"/>
    </row>
    <row r="128" spans="1:29" x14ac:dyDescent="0.25">
      <c r="A128"/>
      <c r="B128"/>
      <c r="C128" s="92"/>
      <c r="L128" s="92"/>
      <c r="M128" s="92"/>
      <c r="Q128" s="115"/>
      <c r="R128" s="92"/>
      <c r="S128"/>
      <c r="T128"/>
      <c r="U128"/>
      <c r="V128"/>
      <c r="W128"/>
      <c r="X128"/>
      <c r="Y128"/>
      <c r="Z128"/>
      <c r="AA128"/>
      <c r="AB128"/>
      <c r="AC128"/>
    </row>
    <row r="129" spans="1:29" x14ac:dyDescent="0.25">
      <c r="A129"/>
      <c r="B129"/>
      <c r="C129" s="92"/>
      <c r="L129" s="92"/>
      <c r="M129" s="92"/>
      <c r="Q129" s="115"/>
      <c r="R129" s="92"/>
      <c r="S129"/>
      <c r="T129"/>
      <c r="U129"/>
      <c r="V129"/>
      <c r="W129"/>
      <c r="X129"/>
      <c r="Y129"/>
      <c r="Z129"/>
      <c r="AA129"/>
      <c r="AB129"/>
      <c r="AC129"/>
    </row>
    <row r="130" spans="1:29" x14ac:dyDescent="0.25">
      <c r="A130"/>
      <c r="B130"/>
      <c r="C130" s="92"/>
      <c r="L130" s="92"/>
      <c r="M130" s="92"/>
      <c r="Q130" s="115"/>
      <c r="R130" s="92"/>
      <c r="S130"/>
      <c r="T130"/>
      <c r="U130"/>
      <c r="V130"/>
      <c r="W130"/>
      <c r="X130"/>
      <c r="Y130"/>
      <c r="Z130"/>
      <c r="AA130"/>
      <c r="AB130"/>
      <c r="AC130"/>
    </row>
    <row r="131" spans="1:29" x14ac:dyDescent="0.25">
      <c r="A131"/>
      <c r="B131"/>
      <c r="C131" s="92"/>
      <c r="L131" s="92"/>
      <c r="M131" s="92"/>
      <c r="Q131" s="115"/>
      <c r="R131" s="92"/>
      <c r="S131"/>
      <c r="T131"/>
      <c r="U131"/>
      <c r="V131"/>
      <c r="W131"/>
      <c r="X131"/>
      <c r="Y131"/>
      <c r="Z131"/>
      <c r="AA131"/>
      <c r="AB131"/>
      <c r="AC131"/>
    </row>
    <row r="132" spans="1:29" x14ac:dyDescent="0.25">
      <c r="A132"/>
      <c r="B132"/>
      <c r="C132" s="92"/>
      <c r="L132" s="92"/>
      <c r="M132" s="92"/>
      <c r="Q132" s="115"/>
      <c r="R132" s="92"/>
      <c r="S132"/>
      <c r="T132"/>
      <c r="U132"/>
      <c r="V132"/>
      <c r="W132"/>
      <c r="X132"/>
      <c r="Y132"/>
      <c r="Z132"/>
      <c r="AA132"/>
      <c r="AB132"/>
      <c r="AC132"/>
    </row>
    <row r="133" spans="1:29" x14ac:dyDescent="0.25">
      <c r="A133"/>
      <c r="B133"/>
      <c r="C133" s="92"/>
      <c r="L133" s="92"/>
      <c r="M133" s="92"/>
      <c r="Q133" s="115"/>
      <c r="R133" s="92"/>
      <c r="S133"/>
      <c r="T133"/>
      <c r="U133"/>
      <c r="V133"/>
      <c r="W133"/>
      <c r="X133"/>
      <c r="Y133"/>
      <c r="Z133"/>
      <c r="AA133"/>
      <c r="AB133"/>
      <c r="AC133"/>
    </row>
    <row r="134" spans="1:29" x14ac:dyDescent="0.25">
      <c r="A134"/>
      <c r="B134"/>
      <c r="C134" s="92"/>
      <c r="L134" s="92"/>
      <c r="M134" s="92"/>
      <c r="Q134" s="115"/>
      <c r="R134" s="92"/>
      <c r="S134"/>
      <c r="T134"/>
      <c r="U134"/>
      <c r="V134"/>
      <c r="W134"/>
      <c r="X134"/>
      <c r="Y134"/>
      <c r="Z134"/>
      <c r="AA134"/>
      <c r="AB134"/>
      <c r="AC134"/>
    </row>
    <row r="135" spans="1:29" x14ac:dyDescent="0.25">
      <c r="A135"/>
      <c r="B135"/>
      <c r="C135" s="92"/>
      <c r="L135" s="92"/>
      <c r="M135" s="92"/>
      <c r="Q135" s="115"/>
      <c r="R135" s="92"/>
      <c r="S135"/>
      <c r="T135"/>
      <c r="U135"/>
      <c r="V135"/>
      <c r="W135"/>
      <c r="X135"/>
      <c r="Y135"/>
      <c r="Z135"/>
      <c r="AA135"/>
      <c r="AB135"/>
      <c r="AC135"/>
    </row>
    <row r="136" spans="1:29" x14ac:dyDescent="0.25">
      <c r="A136"/>
      <c r="B136"/>
      <c r="C136" s="92"/>
      <c r="L136" s="92"/>
      <c r="M136" s="92"/>
      <c r="Q136" s="115"/>
      <c r="R136" s="92"/>
      <c r="S136"/>
      <c r="T136"/>
      <c r="U136"/>
      <c r="V136"/>
      <c r="W136"/>
      <c r="X136"/>
      <c r="Y136"/>
      <c r="Z136"/>
      <c r="AA136"/>
      <c r="AB136"/>
      <c r="AC136"/>
    </row>
    <row r="137" spans="1:29" x14ac:dyDescent="0.25">
      <c r="A137"/>
      <c r="B137"/>
      <c r="C137" s="92"/>
      <c r="L137" s="92"/>
      <c r="M137" s="92"/>
      <c r="Q137" s="115"/>
      <c r="R137" s="92"/>
      <c r="S137"/>
      <c r="T137"/>
      <c r="U137"/>
      <c r="V137"/>
      <c r="W137"/>
      <c r="X137"/>
      <c r="Y137"/>
      <c r="Z137"/>
      <c r="AA137"/>
      <c r="AB137"/>
      <c r="AC137"/>
    </row>
    <row r="138" spans="1:29" x14ac:dyDescent="0.25">
      <c r="A138"/>
      <c r="B138"/>
      <c r="C138" s="92"/>
      <c r="L138" s="92"/>
      <c r="M138" s="92"/>
      <c r="Q138" s="115"/>
      <c r="R138" s="92"/>
      <c r="S138"/>
      <c r="T138"/>
      <c r="U138"/>
      <c r="V138"/>
      <c r="W138"/>
      <c r="X138"/>
      <c r="Y138"/>
      <c r="Z138"/>
      <c r="AA138"/>
      <c r="AB138"/>
      <c r="AC138"/>
    </row>
    <row r="139" spans="1:29" x14ac:dyDescent="0.25">
      <c r="A139"/>
      <c r="B139"/>
      <c r="C139" s="92"/>
      <c r="L139" s="92"/>
      <c r="M139" s="92"/>
      <c r="Q139" s="115"/>
      <c r="R139" s="92"/>
      <c r="S139"/>
      <c r="T139"/>
      <c r="U139"/>
      <c r="V139"/>
      <c r="W139"/>
      <c r="X139"/>
      <c r="Y139"/>
      <c r="Z139"/>
      <c r="AA139"/>
      <c r="AB139"/>
      <c r="AC139"/>
    </row>
    <row r="140" spans="1:29" x14ac:dyDescent="0.25">
      <c r="A140"/>
      <c r="B140"/>
      <c r="C140" s="92"/>
      <c r="L140" s="92"/>
      <c r="M140" s="92"/>
      <c r="Q140" s="115"/>
      <c r="R140" s="92"/>
      <c r="S140"/>
      <c r="T140"/>
      <c r="U140"/>
      <c r="V140"/>
      <c r="W140"/>
      <c r="X140"/>
      <c r="Y140"/>
      <c r="Z140"/>
      <c r="AA140"/>
      <c r="AB140"/>
      <c r="AC140"/>
    </row>
    <row r="141" spans="1:29" x14ac:dyDescent="0.25">
      <c r="A141"/>
      <c r="B141"/>
      <c r="C141" s="92"/>
      <c r="L141" s="92"/>
      <c r="M141" s="92"/>
      <c r="Q141" s="115"/>
      <c r="R141" s="92"/>
      <c r="S141"/>
      <c r="T141"/>
      <c r="U141"/>
      <c r="V141"/>
      <c r="W141"/>
      <c r="X141"/>
      <c r="Y141"/>
      <c r="Z141"/>
      <c r="AA141"/>
      <c r="AB141"/>
      <c r="AC141"/>
    </row>
    <row r="142" spans="1:29" x14ac:dyDescent="0.25">
      <c r="A142"/>
      <c r="B142"/>
      <c r="C142" s="92"/>
      <c r="L142" s="92"/>
      <c r="M142" s="92"/>
      <c r="Q142" s="115"/>
      <c r="R142" s="92"/>
      <c r="S142"/>
      <c r="T142"/>
      <c r="U142"/>
      <c r="V142"/>
      <c r="W142"/>
      <c r="X142"/>
      <c r="Y142"/>
      <c r="Z142"/>
      <c r="AA142"/>
      <c r="AB142"/>
      <c r="AC142"/>
    </row>
    <row r="143" spans="1:29" x14ac:dyDescent="0.25">
      <c r="A143"/>
      <c r="B143"/>
      <c r="C143" s="92"/>
      <c r="L143" s="92"/>
      <c r="M143" s="92"/>
      <c r="Q143" s="115"/>
      <c r="R143" s="92"/>
      <c r="S143"/>
      <c r="T143"/>
      <c r="U143"/>
      <c r="V143"/>
      <c r="W143"/>
      <c r="X143"/>
      <c r="Y143"/>
      <c r="Z143"/>
      <c r="AA143"/>
      <c r="AB143"/>
      <c r="AC143"/>
    </row>
    <row r="144" spans="1:29" x14ac:dyDescent="0.25">
      <c r="A144"/>
      <c r="B144"/>
      <c r="C144" s="92"/>
      <c r="L144" s="92"/>
      <c r="M144" s="92"/>
      <c r="Q144" s="115"/>
      <c r="R144" s="92"/>
      <c r="S144"/>
      <c r="T144"/>
      <c r="U144"/>
      <c r="V144"/>
      <c r="W144"/>
      <c r="X144"/>
      <c r="Y144"/>
      <c r="Z144"/>
      <c r="AA144"/>
      <c r="AB144"/>
      <c r="AC144"/>
    </row>
    <row r="145" spans="1:29" x14ac:dyDescent="0.25">
      <c r="A145"/>
      <c r="B145"/>
      <c r="C145" s="92"/>
      <c r="L145" s="92"/>
      <c r="M145" s="92"/>
      <c r="Q145" s="115"/>
      <c r="R145" s="92"/>
      <c r="S145"/>
      <c r="T145"/>
      <c r="U145"/>
      <c r="V145"/>
      <c r="W145"/>
      <c r="X145"/>
      <c r="Y145"/>
      <c r="Z145"/>
      <c r="AA145"/>
      <c r="AB145"/>
      <c r="AC145"/>
    </row>
    <row r="146" spans="1:29" x14ac:dyDescent="0.25">
      <c r="A146"/>
      <c r="B146"/>
      <c r="C146" s="92"/>
      <c r="L146" s="92"/>
      <c r="M146" s="92"/>
      <c r="Q146" s="115"/>
      <c r="R146" s="92"/>
      <c r="S146"/>
      <c r="T146"/>
      <c r="U146"/>
      <c r="V146"/>
      <c r="W146"/>
      <c r="X146"/>
      <c r="Y146"/>
      <c r="Z146"/>
      <c r="AA146"/>
      <c r="AB146"/>
      <c r="AC146"/>
    </row>
    <row r="147" spans="1:29" x14ac:dyDescent="0.25">
      <c r="A147"/>
      <c r="B147"/>
      <c r="C147" s="92"/>
      <c r="L147" s="92"/>
      <c r="M147" s="92"/>
      <c r="Q147" s="115"/>
      <c r="R147" s="92"/>
      <c r="S147"/>
      <c r="T147"/>
      <c r="U147"/>
      <c r="V147"/>
      <c r="W147"/>
      <c r="X147"/>
      <c r="Y147"/>
      <c r="Z147"/>
      <c r="AA147"/>
      <c r="AB147"/>
      <c r="AC147"/>
    </row>
    <row r="148" spans="1:29" x14ac:dyDescent="0.25">
      <c r="A148"/>
      <c r="B148"/>
      <c r="C148" s="92"/>
      <c r="L148" s="92"/>
      <c r="M148" s="92"/>
      <c r="Q148" s="115"/>
      <c r="R148" s="92"/>
      <c r="S148"/>
      <c r="T148"/>
      <c r="U148"/>
      <c r="V148"/>
      <c r="W148"/>
      <c r="X148"/>
      <c r="Y148"/>
      <c r="Z148"/>
      <c r="AA148"/>
      <c r="AB148"/>
      <c r="AC148"/>
    </row>
    <row r="149" spans="1:29" x14ac:dyDescent="0.25">
      <c r="A149"/>
      <c r="B149"/>
      <c r="C149" s="92"/>
      <c r="L149" s="92"/>
      <c r="M149" s="92"/>
      <c r="Q149" s="115"/>
      <c r="R149" s="92"/>
      <c r="S149"/>
      <c r="T149"/>
      <c r="U149"/>
      <c r="V149"/>
      <c r="W149"/>
      <c r="X149"/>
      <c r="Y149"/>
      <c r="Z149"/>
      <c r="AA149"/>
      <c r="AB149"/>
      <c r="AC149"/>
    </row>
    <row r="150" spans="1:29" x14ac:dyDescent="0.25">
      <c r="A150"/>
      <c r="B150"/>
      <c r="C150" s="92"/>
      <c r="L150" s="92"/>
      <c r="M150" s="92"/>
      <c r="Q150" s="115"/>
      <c r="R150" s="92"/>
      <c r="S150"/>
      <c r="T150"/>
      <c r="U150"/>
      <c r="V150"/>
      <c r="W150"/>
      <c r="X150"/>
      <c r="Y150"/>
      <c r="Z150"/>
      <c r="AA150"/>
      <c r="AB150"/>
      <c r="AC150"/>
    </row>
    <row r="151" spans="1:29" x14ac:dyDescent="0.25">
      <c r="A151"/>
      <c r="B151"/>
      <c r="C151" s="92"/>
      <c r="L151" s="92"/>
      <c r="M151" s="92"/>
      <c r="Q151" s="115"/>
      <c r="R151" s="92"/>
      <c r="S151"/>
      <c r="T151"/>
      <c r="U151"/>
      <c r="V151"/>
      <c r="W151"/>
      <c r="X151"/>
      <c r="Y151"/>
      <c r="Z151"/>
      <c r="AA151"/>
      <c r="AB151"/>
      <c r="AC151"/>
    </row>
    <row r="152" spans="1:29" x14ac:dyDescent="0.25">
      <c r="A152"/>
      <c r="B152"/>
      <c r="C152" s="92"/>
      <c r="L152" s="92"/>
      <c r="M152" s="92"/>
      <c r="Q152" s="115"/>
      <c r="R152" s="92"/>
      <c r="S152"/>
      <c r="T152"/>
      <c r="U152"/>
      <c r="V152"/>
      <c r="W152"/>
      <c r="X152"/>
      <c r="Y152"/>
      <c r="Z152"/>
      <c r="AA152"/>
      <c r="AB152"/>
      <c r="AC152"/>
    </row>
    <row r="153" spans="1:29" x14ac:dyDescent="0.25">
      <c r="A153"/>
      <c r="B153"/>
      <c r="C153" s="92"/>
      <c r="L153" s="92"/>
      <c r="M153" s="92"/>
      <c r="Q153" s="115"/>
      <c r="R153" s="92"/>
      <c r="S153"/>
      <c r="T153"/>
      <c r="U153"/>
      <c r="V153"/>
      <c r="W153"/>
      <c r="X153"/>
      <c r="Y153"/>
      <c r="Z153"/>
      <c r="AA153"/>
      <c r="AB153"/>
      <c r="AC153"/>
    </row>
    <row r="154" spans="1:29" x14ac:dyDescent="0.25">
      <c r="A154"/>
      <c r="B154"/>
      <c r="C154" s="92"/>
      <c r="L154" s="92"/>
      <c r="M154" s="92"/>
      <c r="Q154" s="115"/>
      <c r="R154" s="92"/>
      <c r="S154"/>
      <c r="T154"/>
      <c r="U154"/>
      <c r="V154"/>
      <c r="W154"/>
      <c r="X154"/>
      <c r="Y154"/>
      <c r="Z154"/>
      <c r="AA154"/>
      <c r="AB154"/>
      <c r="AC154"/>
    </row>
    <row r="155" spans="1:29" x14ac:dyDescent="0.25">
      <c r="A155"/>
      <c r="B155"/>
      <c r="C155" s="92"/>
      <c r="L155" s="92"/>
      <c r="M155" s="92"/>
      <c r="Q155" s="115"/>
      <c r="R155" s="92"/>
      <c r="S155"/>
      <c r="T155"/>
      <c r="U155"/>
      <c r="V155"/>
      <c r="W155"/>
      <c r="X155"/>
      <c r="Y155"/>
      <c r="Z155"/>
      <c r="AA155"/>
      <c r="AB155"/>
      <c r="AC155"/>
    </row>
    <row r="156" spans="1:29" x14ac:dyDescent="0.25">
      <c r="A156"/>
      <c r="B156"/>
      <c r="C156" s="92"/>
      <c r="L156" s="92"/>
      <c r="M156" s="92"/>
      <c r="Q156" s="115"/>
      <c r="R156" s="92"/>
      <c r="S156"/>
      <c r="T156"/>
      <c r="U156"/>
      <c r="V156"/>
      <c r="W156"/>
      <c r="X156"/>
      <c r="Y156"/>
      <c r="Z156"/>
      <c r="AA156"/>
      <c r="AB156"/>
      <c r="AC156"/>
    </row>
    <row r="157" spans="1:29" x14ac:dyDescent="0.25">
      <c r="A157"/>
      <c r="B157"/>
      <c r="C157" s="92"/>
      <c r="L157" s="92"/>
      <c r="M157" s="92"/>
      <c r="Q157" s="115"/>
      <c r="R157" s="92"/>
      <c r="S157"/>
      <c r="T157"/>
      <c r="U157"/>
      <c r="V157"/>
      <c r="W157"/>
      <c r="X157"/>
      <c r="Y157"/>
      <c r="Z157"/>
      <c r="AA157"/>
      <c r="AB157"/>
      <c r="AC157"/>
    </row>
    <row r="158" spans="1:29" x14ac:dyDescent="0.25">
      <c r="A158"/>
      <c r="B158"/>
      <c r="C158" s="92"/>
      <c r="L158" s="92"/>
      <c r="M158" s="92"/>
      <c r="Q158" s="115"/>
      <c r="R158" s="92"/>
      <c r="S158"/>
      <c r="T158"/>
      <c r="U158"/>
      <c r="V158"/>
      <c r="W158"/>
      <c r="X158"/>
      <c r="Y158"/>
      <c r="Z158"/>
      <c r="AA158"/>
      <c r="AB158"/>
      <c r="AC158"/>
    </row>
    <row r="159" spans="1:29" x14ac:dyDescent="0.25">
      <c r="A159"/>
      <c r="B159"/>
      <c r="C159" s="92"/>
      <c r="L159" s="92"/>
      <c r="M159" s="92"/>
      <c r="Q159" s="115"/>
      <c r="R159" s="92"/>
      <c r="S159"/>
      <c r="T159"/>
      <c r="U159"/>
      <c r="V159"/>
      <c r="W159"/>
      <c r="X159"/>
      <c r="Y159"/>
      <c r="Z159"/>
      <c r="AA159"/>
      <c r="AB159"/>
      <c r="AC159"/>
    </row>
    <row r="160" spans="1:29" x14ac:dyDescent="0.25">
      <c r="A160"/>
      <c r="B160"/>
      <c r="C160" s="92"/>
      <c r="L160" s="92"/>
      <c r="M160" s="92"/>
      <c r="Q160" s="115"/>
      <c r="R160" s="92"/>
      <c r="S160"/>
      <c r="T160"/>
      <c r="U160"/>
      <c r="V160"/>
      <c r="W160"/>
      <c r="X160"/>
      <c r="Y160"/>
      <c r="Z160"/>
      <c r="AA160"/>
      <c r="AB160"/>
      <c r="AC160"/>
    </row>
    <row r="161" spans="1:29" x14ac:dyDescent="0.25">
      <c r="A161"/>
      <c r="B161"/>
      <c r="C161" s="92"/>
      <c r="L161" s="92"/>
      <c r="M161" s="92"/>
      <c r="Q161" s="115"/>
      <c r="R161" s="92"/>
      <c r="S161"/>
      <c r="T161"/>
      <c r="U161"/>
      <c r="V161"/>
      <c r="W161"/>
      <c r="X161"/>
      <c r="Y161"/>
      <c r="Z161"/>
      <c r="AA161"/>
      <c r="AB161"/>
      <c r="AC161"/>
    </row>
    <row r="162" spans="1:29" x14ac:dyDescent="0.25">
      <c r="A162"/>
      <c r="B162"/>
      <c r="C162" s="92"/>
      <c r="L162" s="92"/>
      <c r="M162" s="92"/>
      <c r="Q162" s="115"/>
      <c r="R162" s="92"/>
      <c r="S162"/>
      <c r="T162"/>
      <c r="U162"/>
      <c r="V162"/>
      <c r="W162"/>
      <c r="X162"/>
      <c r="Y162"/>
      <c r="Z162"/>
      <c r="AA162"/>
      <c r="AB162"/>
      <c r="AC162"/>
    </row>
    <row r="163" spans="1:29" x14ac:dyDescent="0.25">
      <c r="A163"/>
      <c r="B163"/>
      <c r="C163" s="92"/>
      <c r="L163" s="92"/>
      <c r="M163" s="92"/>
      <c r="Q163" s="115"/>
      <c r="R163" s="92"/>
      <c r="S163"/>
      <c r="T163"/>
      <c r="U163"/>
      <c r="V163"/>
      <c r="W163"/>
      <c r="X163"/>
      <c r="Y163"/>
      <c r="Z163"/>
      <c r="AA163"/>
      <c r="AB163"/>
      <c r="AC163"/>
    </row>
    <row r="164" spans="1:29" x14ac:dyDescent="0.25">
      <c r="A164"/>
      <c r="B164"/>
      <c r="C164" s="92"/>
      <c r="L164" s="92"/>
      <c r="M164" s="92"/>
      <c r="Q164" s="115"/>
      <c r="R164" s="92"/>
      <c r="S164"/>
      <c r="T164"/>
      <c r="U164"/>
      <c r="V164"/>
      <c r="W164"/>
      <c r="X164"/>
      <c r="Y164"/>
      <c r="Z164"/>
      <c r="AA164"/>
      <c r="AB164"/>
      <c r="AC164"/>
    </row>
    <row r="165" spans="1:29" x14ac:dyDescent="0.25">
      <c r="A165"/>
      <c r="B165"/>
      <c r="C165" s="92"/>
      <c r="L165" s="92"/>
      <c r="M165" s="92"/>
      <c r="Q165" s="115"/>
      <c r="R165" s="92"/>
      <c r="S165"/>
      <c r="T165"/>
      <c r="U165"/>
      <c r="V165"/>
      <c r="W165"/>
      <c r="X165"/>
      <c r="Y165"/>
      <c r="Z165"/>
      <c r="AA165"/>
      <c r="AB165"/>
      <c r="AC165"/>
    </row>
    <row r="166" spans="1:29" x14ac:dyDescent="0.25">
      <c r="A166"/>
      <c r="B166"/>
      <c r="C166" s="92"/>
      <c r="L166" s="92"/>
      <c r="M166" s="92"/>
      <c r="Q166" s="115"/>
      <c r="R166" s="92"/>
      <c r="S166"/>
      <c r="T166"/>
      <c r="U166"/>
      <c r="V166"/>
      <c r="W166"/>
      <c r="X166"/>
      <c r="Y166"/>
      <c r="Z166"/>
      <c r="AA166"/>
      <c r="AB166"/>
      <c r="AC166"/>
    </row>
    <row r="167" spans="1:29" x14ac:dyDescent="0.25">
      <c r="A167"/>
      <c r="B167"/>
      <c r="C167" s="92"/>
      <c r="L167" s="92"/>
      <c r="M167" s="92"/>
      <c r="Q167" s="115"/>
      <c r="R167" s="92"/>
      <c r="S167"/>
      <c r="T167"/>
      <c r="U167"/>
      <c r="V167"/>
      <c r="W167"/>
      <c r="X167"/>
      <c r="Y167"/>
      <c r="Z167"/>
      <c r="AA167"/>
      <c r="AB167"/>
      <c r="AC167"/>
    </row>
    <row r="168" spans="1:29" x14ac:dyDescent="0.25">
      <c r="A168"/>
      <c r="B168"/>
      <c r="C168" s="92"/>
      <c r="L168" s="92"/>
      <c r="M168" s="92"/>
      <c r="Q168" s="115"/>
      <c r="R168" s="92"/>
      <c r="S168"/>
      <c r="T168"/>
      <c r="U168"/>
      <c r="V168"/>
      <c r="W168"/>
      <c r="X168"/>
      <c r="Y168"/>
      <c r="Z168"/>
      <c r="AA168"/>
      <c r="AB168"/>
      <c r="AC168"/>
    </row>
    <row r="169" spans="1:29" x14ac:dyDescent="0.25">
      <c r="A169"/>
      <c r="B169"/>
      <c r="C169" s="92"/>
      <c r="L169" s="92"/>
      <c r="M169" s="92"/>
      <c r="Q169" s="115"/>
      <c r="R169" s="92"/>
      <c r="S169"/>
      <c r="T169"/>
      <c r="U169"/>
      <c r="V169"/>
      <c r="W169"/>
      <c r="X169"/>
      <c r="Y169"/>
      <c r="Z169"/>
      <c r="AA169"/>
      <c r="AB169"/>
      <c r="AC169"/>
    </row>
    <row r="170" spans="1:29" x14ac:dyDescent="0.25">
      <c r="A170"/>
      <c r="B170"/>
      <c r="C170" s="92"/>
      <c r="L170" s="92"/>
      <c r="M170" s="92"/>
      <c r="Q170" s="115"/>
      <c r="R170" s="92"/>
      <c r="S170"/>
      <c r="T170"/>
      <c r="U170"/>
      <c r="V170"/>
      <c r="W170"/>
      <c r="X170"/>
      <c r="Y170"/>
      <c r="Z170"/>
      <c r="AA170"/>
      <c r="AB170"/>
      <c r="AC170"/>
    </row>
    <row r="171" spans="1:29" x14ac:dyDescent="0.25">
      <c r="A171"/>
      <c r="B171"/>
      <c r="C171" s="92"/>
      <c r="L171" s="92"/>
      <c r="M171" s="92"/>
      <c r="Q171" s="115"/>
      <c r="R171" s="92"/>
      <c r="S171"/>
      <c r="T171"/>
      <c r="U171"/>
      <c r="V171"/>
      <c r="W171"/>
      <c r="X171"/>
      <c r="Y171"/>
      <c r="Z171"/>
      <c r="AA171"/>
      <c r="AB171"/>
      <c r="AC171"/>
    </row>
    <row r="172" spans="1:29" x14ac:dyDescent="0.25">
      <c r="A172"/>
      <c r="B172"/>
      <c r="C172" s="92"/>
      <c r="L172" s="92"/>
      <c r="M172" s="92"/>
      <c r="Q172" s="115"/>
      <c r="R172" s="92"/>
      <c r="S172"/>
      <c r="T172"/>
      <c r="U172"/>
      <c r="V172"/>
      <c r="W172"/>
      <c r="X172"/>
      <c r="Y172"/>
      <c r="Z172"/>
      <c r="AA172"/>
      <c r="AB172"/>
      <c r="AC172"/>
    </row>
    <row r="173" spans="1:29" x14ac:dyDescent="0.25">
      <c r="A173"/>
      <c r="B173"/>
      <c r="C173" s="92"/>
      <c r="L173" s="92"/>
      <c r="M173" s="92"/>
      <c r="Q173" s="115"/>
      <c r="R173" s="92"/>
      <c r="S173"/>
      <c r="T173"/>
      <c r="U173"/>
      <c r="V173"/>
      <c r="W173"/>
      <c r="X173"/>
      <c r="Y173"/>
      <c r="Z173"/>
      <c r="AA173"/>
      <c r="AB173"/>
      <c r="AC173"/>
    </row>
    <row r="174" spans="1:29" x14ac:dyDescent="0.25">
      <c r="A174"/>
      <c r="B174"/>
      <c r="C174" s="92"/>
      <c r="L174" s="92"/>
      <c r="M174" s="92"/>
      <c r="Q174" s="115"/>
      <c r="R174" s="92"/>
      <c r="S174"/>
      <c r="T174"/>
      <c r="U174"/>
      <c r="V174"/>
      <c r="W174"/>
      <c r="X174"/>
      <c r="Y174"/>
      <c r="Z174"/>
      <c r="AA174"/>
      <c r="AB174"/>
      <c r="AC174"/>
    </row>
    <row r="175" spans="1:29" x14ac:dyDescent="0.25">
      <c r="A175"/>
      <c r="B175"/>
      <c r="C175" s="92"/>
      <c r="L175" s="92"/>
      <c r="M175" s="92"/>
      <c r="Q175" s="115"/>
      <c r="R175" s="92"/>
      <c r="S175"/>
      <c r="T175"/>
      <c r="U175"/>
      <c r="V175"/>
      <c r="W175"/>
      <c r="X175"/>
      <c r="Y175"/>
      <c r="Z175"/>
      <c r="AA175"/>
      <c r="AB175"/>
      <c r="AC175"/>
    </row>
    <row r="176" spans="1:29" x14ac:dyDescent="0.25">
      <c r="A176"/>
      <c r="B176"/>
      <c r="C176" s="92"/>
      <c r="L176" s="92"/>
      <c r="M176" s="92"/>
      <c r="Q176" s="115"/>
      <c r="R176" s="92"/>
      <c r="S176"/>
      <c r="T176"/>
      <c r="U176"/>
      <c r="V176"/>
      <c r="W176"/>
      <c r="X176"/>
      <c r="Y176"/>
      <c r="Z176"/>
      <c r="AA176"/>
      <c r="AB176"/>
      <c r="AC176"/>
    </row>
    <row r="177" spans="1:29" x14ac:dyDescent="0.25">
      <c r="A177"/>
      <c r="B177"/>
      <c r="C177" s="92"/>
      <c r="L177" s="92"/>
      <c r="M177" s="92"/>
      <c r="Q177" s="115"/>
      <c r="R177" s="92"/>
      <c r="S177"/>
      <c r="T177"/>
      <c r="U177"/>
      <c r="V177"/>
      <c r="W177"/>
      <c r="X177"/>
      <c r="Y177"/>
      <c r="Z177"/>
      <c r="AA177"/>
      <c r="AB177"/>
      <c r="AC177"/>
    </row>
    <row r="178" spans="1:29" x14ac:dyDescent="0.25">
      <c r="A178"/>
      <c r="B178"/>
      <c r="C178" s="92"/>
      <c r="L178" s="92"/>
      <c r="M178" s="92"/>
      <c r="Q178" s="115"/>
      <c r="R178" s="92"/>
      <c r="S178"/>
      <c r="T178"/>
      <c r="U178"/>
      <c r="V178"/>
      <c r="W178"/>
      <c r="X178"/>
      <c r="Y178"/>
      <c r="Z178"/>
      <c r="AA178"/>
      <c r="AB178"/>
      <c r="AC178"/>
    </row>
    <row r="179" spans="1:29" x14ac:dyDescent="0.25">
      <c r="A179"/>
      <c r="B179"/>
      <c r="C179" s="92"/>
      <c r="L179" s="92"/>
      <c r="M179" s="92"/>
      <c r="Q179" s="115"/>
      <c r="R179" s="92"/>
      <c r="S179"/>
      <c r="T179"/>
      <c r="U179"/>
      <c r="V179"/>
      <c r="W179"/>
      <c r="X179"/>
      <c r="Y179"/>
      <c r="Z179"/>
      <c r="AA179"/>
      <c r="AB179"/>
      <c r="AC179"/>
    </row>
    <row r="180" spans="1:29" x14ac:dyDescent="0.25">
      <c r="A180"/>
      <c r="B180"/>
      <c r="C180" s="92"/>
      <c r="L180" s="92"/>
      <c r="M180" s="92"/>
      <c r="Q180" s="115"/>
      <c r="R180" s="92"/>
      <c r="S180"/>
      <c r="T180"/>
      <c r="U180"/>
      <c r="V180"/>
      <c r="W180"/>
      <c r="X180"/>
      <c r="Y180"/>
      <c r="Z180"/>
      <c r="AA180"/>
      <c r="AB180"/>
      <c r="AC180"/>
    </row>
    <row r="181" spans="1:29" x14ac:dyDescent="0.25">
      <c r="A181"/>
      <c r="B181"/>
      <c r="C181" s="92"/>
      <c r="L181" s="92"/>
      <c r="M181" s="92"/>
      <c r="Q181" s="115"/>
      <c r="R181" s="92"/>
      <c r="S181"/>
      <c r="T181"/>
      <c r="U181"/>
      <c r="V181"/>
      <c r="W181"/>
      <c r="X181"/>
      <c r="Y181"/>
      <c r="Z181"/>
      <c r="AA181"/>
      <c r="AB181"/>
      <c r="AC181"/>
    </row>
    <row r="182" spans="1:29" x14ac:dyDescent="0.25">
      <c r="A182"/>
      <c r="B182"/>
      <c r="C182" s="92"/>
      <c r="L182" s="92"/>
      <c r="M182" s="92"/>
      <c r="Q182" s="115"/>
      <c r="R182" s="92"/>
      <c r="S182"/>
      <c r="T182"/>
      <c r="U182"/>
      <c r="V182"/>
      <c r="W182"/>
      <c r="X182"/>
      <c r="Y182"/>
      <c r="Z182"/>
      <c r="AA182"/>
      <c r="AB182"/>
      <c r="AC182"/>
    </row>
    <row r="183" spans="1:29" x14ac:dyDescent="0.25">
      <c r="A183"/>
      <c r="B183"/>
      <c r="C183" s="92"/>
      <c r="L183" s="92"/>
      <c r="M183" s="92"/>
      <c r="Q183" s="115"/>
      <c r="R183" s="92"/>
      <c r="S183"/>
      <c r="T183"/>
      <c r="U183"/>
      <c r="V183"/>
      <c r="W183"/>
      <c r="X183"/>
      <c r="Y183"/>
      <c r="Z183"/>
      <c r="AA183"/>
      <c r="AB183"/>
      <c r="AC183"/>
    </row>
    <row r="184" spans="1:29" x14ac:dyDescent="0.25">
      <c r="A184"/>
      <c r="B184"/>
      <c r="C184" s="92"/>
      <c r="L184" s="92"/>
      <c r="M184" s="92"/>
      <c r="Q184" s="115"/>
      <c r="R184" s="92"/>
      <c r="S184"/>
      <c r="T184"/>
      <c r="U184"/>
      <c r="V184"/>
      <c r="W184"/>
      <c r="X184"/>
      <c r="Y184"/>
      <c r="Z184"/>
      <c r="AA184"/>
      <c r="AB184"/>
      <c r="AC184"/>
    </row>
    <row r="185" spans="1:29" x14ac:dyDescent="0.25">
      <c r="A185"/>
      <c r="B185"/>
      <c r="C185" s="92"/>
      <c r="L185" s="92"/>
      <c r="M185" s="92"/>
      <c r="Q185" s="115"/>
      <c r="R185" s="92"/>
      <c r="S185"/>
      <c r="T185"/>
      <c r="U185"/>
      <c r="V185"/>
      <c r="W185"/>
      <c r="X185"/>
      <c r="Y185"/>
      <c r="Z185"/>
      <c r="AA185"/>
      <c r="AB185"/>
      <c r="AC185"/>
    </row>
    <row r="186" spans="1:29" x14ac:dyDescent="0.25">
      <c r="A186"/>
      <c r="B186"/>
      <c r="C186" s="92"/>
      <c r="L186" s="92"/>
      <c r="M186" s="92"/>
      <c r="Q186" s="115"/>
      <c r="R186" s="92"/>
      <c r="S186"/>
      <c r="T186"/>
      <c r="U186"/>
      <c r="V186"/>
      <c r="W186"/>
      <c r="X186"/>
      <c r="Y186"/>
      <c r="Z186"/>
      <c r="AA186"/>
      <c r="AB186"/>
      <c r="AC186"/>
    </row>
    <row r="187" spans="1:29" x14ac:dyDescent="0.25">
      <c r="A187"/>
      <c r="B187"/>
      <c r="C187" s="92"/>
      <c r="L187" s="92"/>
      <c r="M187" s="92"/>
      <c r="Q187" s="115"/>
      <c r="R187" s="92"/>
      <c r="S187"/>
      <c r="T187"/>
      <c r="U187"/>
      <c r="V187"/>
      <c r="W187"/>
      <c r="X187"/>
      <c r="Y187"/>
      <c r="Z187"/>
      <c r="AA187"/>
      <c r="AB187"/>
      <c r="AC187"/>
    </row>
    <row r="188" spans="1:29" x14ac:dyDescent="0.25">
      <c r="A188"/>
      <c r="B188"/>
      <c r="C188" s="92"/>
      <c r="L188" s="92"/>
      <c r="M188" s="92"/>
      <c r="Q188" s="115"/>
      <c r="R188" s="92"/>
      <c r="S188"/>
      <c r="T188"/>
      <c r="U188"/>
      <c r="V188"/>
      <c r="W188"/>
      <c r="X188"/>
      <c r="Y188"/>
      <c r="Z188"/>
      <c r="AA188"/>
      <c r="AB188"/>
      <c r="AC188"/>
    </row>
    <row r="189" spans="1:29" x14ac:dyDescent="0.25">
      <c r="A189"/>
      <c r="B189"/>
      <c r="C189" s="92"/>
      <c r="L189" s="92"/>
      <c r="M189" s="92"/>
      <c r="Q189" s="115"/>
      <c r="R189" s="92"/>
      <c r="S189"/>
      <c r="T189"/>
      <c r="U189"/>
      <c r="V189"/>
      <c r="W189"/>
      <c r="X189"/>
      <c r="Y189"/>
      <c r="Z189"/>
      <c r="AA189"/>
      <c r="AB189"/>
      <c r="AC189"/>
    </row>
    <row r="190" spans="1:29" x14ac:dyDescent="0.25">
      <c r="A190"/>
      <c r="B190"/>
      <c r="C190" s="92"/>
      <c r="L190" s="92"/>
      <c r="M190" s="92"/>
      <c r="Q190" s="115"/>
      <c r="R190" s="92"/>
      <c r="S190"/>
      <c r="T190"/>
      <c r="U190"/>
      <c r="V190"/>
      <c r="W190"/>
      <c r="X190"/>
      <c r="Y190"/>
      <c r="Z190"/>
      <c r="AA190"/>
      <c r="AB190"/>
      <c r="AC190"/>
    </row>
    <row r="191" spans="1:29" x14ac:dyDescent="0.25">
      <c r="A191"/>
      <c r="B191"/>
      <c r="C191" s="92"/>
      <c r="L191" s="92"/>
      <c r="M191" s="92"/>
      <c r="Q191" s="115"/>
      <c r="R191" s="92"/>
      <c r="S191"/>
      <c r="T191"/>
      <c r="U191"/>
      <c r="V191"/>
      <c r="W191"/>
      <c r="X191"/>
      <c r="Y191"/>
      <c r="Z191"/>
      <c r="AA191"/>
      <c r="AB191"/>
      <c r="AC191"/>
    </row>
    <row r="192" spans="1:29" x14ac:dyDescent="0.25">
      <c r="A192"/>
      <c r="B192"/>
      <c r="C192" s="92"/>
      <c r="L192" s="92"/>
      <c r="M192" s="92"/>
      <c r="Q192" s="115"/>
      <c r="R192" s="92"/>
      <c r="S192"/>
      <c r="T192"/>
      <c r="U192"/>
      <c r="V192"/>
      <c r="W192"/>
      <c r="X192"/>
      <c r="Y192"/>
      <c r="Z192"/>
      <c r="AA192"/>
      <c r="AB192"/>
      <c r="AC192"/>
    </row>
    <row r="193" spans="1:29" x14ac:dyDescent="0.25">
      <c r="A193"/>
      <c r="B193"/>
      <c r="C193" s="92"/>
      <c r="L193" s="92"/>
      <c r="M193" s="92"/>
      <c r="Q193" s="115"/>
      <c r="R193" s="92"/>
      <c r="S193"/>
      <c r="T193"/>
      <c r="U193"/>
      <c r="V193"/>
      <c r="W193"/>
      <c r="X193"/>
      <c r="Y193"/>
      <c r="Z193"/>
      <c r="AA193"/>
      <c r="AB193"/>
      <c r="AC193"/>
    </row>
    <row r="194" spans="1:29" x14ac:dyDescent="0.25">
      <c r="A194"/>
      <c r="B194"/>
      <c r="C194" s="92"/>
      <c r="L194" s="92"/>
      <c r="M194" s="92"/>
      <c r="Q194" s="115"/>
      <c r="R194" s="92"/>
      <c r="S194"/>
      <c r="T194"/>
      <c r="U194"/>
      <c r="V194"/>
      <c r="W194"/>
      <c r="X194"/>
      <c r="Y194"/>
      <c r="Z194"/>
      <c r="AA194"/>
      <c r="AB194"/>
      <c r="AC194"/>
    </row>
    <row r="195" spans="1:29" x14ac:dyDescent="0.25">
      <c r="A195"/>
      <c r="B195"/>
      <c r="C195" s="92"/>
      <c r="L195" s="92"/>
      <c r="M195" s="92"/>
      <c r="Q195" s="115"/>
      <c r="R195" s="92"/>
      <c r="S195"/>
      <c r="T195"/>
      <c r="U195"/>
      <c r="V195"/>
      <c r="W195"/>
      <c r="X195"/>
      <c r="Y195"/>
      <c r="Z195"/>
      <c r="AA195"/>
      <c r="AB195"/>
      <c r="AC195"/>
    </row>
    <row r="196" spans="1:29" x14ac:dyDescent="0.25">
      <c r="A196"/>
      <c r="B196"/>
      <c r="C196" s="92"/>
      <c r="L196" s="92"/>
      <c r="M196" s="92"/>
      <c r="Q196" s="115"/>
      <c r="R196" s="92"/>
      <c r="S196"/>
      <c r="T196"/>
      <c r="U196"/>
      <c r="V196"/>
      <c r="W196"/>
      <c r="X196"/>
      <c r="Y196"/>
      <c r="Z196"/>
      <c r="AA196"/>
      <c r="AB196"/>
      <c r="AC196"/>
    </row>
    <row r="197" spans="1:29" x14ac:dyDescent="0.25">
      <c r="A197"/>
      <c r="B197"/>
      <c r="C197" s="92"/>
      <c r="L197" s="92"/>
      <c r="M197" s="92"/>
      <c r="Q197" s="115"/>
      <c r="R197" s="92"/>
      <c r="S197"/>
      <c r="T197"/>
      <c r="U197"/>
      <c r="V197"/>
      <c r="W197"/>
      <c r="X197"/>
      <c r="Y197"/>
      <c r="Z197"/>
      <c r="AA197"/>
      <c r="AB197"/>
      <c r="AC197"/>
    </row>
    <row r="198" spans="1:29" x14ac:dyDescent="0.25">
      <c r="A198"/>
      <c r="B198"/>
      <c r="C198" s="92"/>
      <c r="L198" s="92"/>
      <c r="M198" s="92"/>
      <c r="Q198" s="115"/>
      <c r="R198" s="92"/>
      <c r="S198"/>
      <c r="T198"/>
      <c r="U198"/>
      <c r="V198"/>
      <c r="W198"/>
      <c r="X198"/>
      <c r="Y198"/>
      <c r="Z198"/>
      <c r="AA198"/>
      <c r="AB198"/>
      <c r="AC198"/>
    </row>
    <row r="199" spans="1:29" x14ac:dyDescent="0.25">
      <c r="A199"/>
      <c r="B199"/>
      <c r="C199" s="92"/>
      <c r="L199" s="92"/>
      <c r="M199" s="92"/>
      <c r="Q199" s="115"/>
      <c r="R199" s="92"/>
      <c r="S199"/>
      <c r="T199"/>
      <c r="U199"/>
      <c r="V199"/>
      <c r="W199"/>
      <c r="X199"/>
      <c r="Y199"/>
      <c r="Z199"/>
      <c r="AA199"/>
      <c r="AB199"/>
      <c r="AC199"/>
    </row>
    <row r="200" spans="1:29" x14ac:dyDescent="0.25">
      <c r="A200"/>
      <c r="B200"/>
      <c r="C200" s="92"/>
      <c r="L200" s="92"/>
      <c r="M200" s="92"/>
      <c r="Q200" s="115"/>
      <c r="R200" s="92"/>
      <c r="S200"/>
      <c r="T200"/>
      <c r="U200"/>
      <c r="V200"/>
      <c r="W200"/>
      <c r="X200"/>
      <c r="Y200"/>
      <c r="Z200"/>
      <c r="AA200"/>
      <c r="AB200"/>
      <c r="AC200"/>
    </row>
    <row r="201" spans="1:29" x14ac:dyDescent="0.25">
      <c r="A201"/>
      <c r="B201"/>
      <c r="C201" s="92"/>
      <c r="L201" s="92"/>
      <c r="M201" s="92"/>
      <c r="Q201" s="115"/>
      <c r="R201" s="92"/>
      <c r="S201"/>
      <c r="T201"/>
      <c r="U201"/>
      <c r="V201"/>
      <c r="W201"/>
      <c r="X201"/>
      <c r="Y201"/>
      <c r="Z201"/>
      <c r="AA201"/>
      <c r="AB201"/>
      <c r="AC201"/>
    </row>
    <row r="202" spans="1:29" x14ac:dyDescent="0.25">
      <c r="A202"/>
      <c r="B202"/>
      <c r="C202" s="92"/>
      <c r="L202" s="92"/>
      <c r="M202" s="92"/>
      <c r="Q202" s="115"/>
      <c r="R202" s="92"/>
      <c r="S202"/>
      <c r="T202"/>
      <c r="U202"/>
      <c r="V202"/>
      <c r="W202"/>
      <c r="X202"/>
      <c r="Y202"/>
      <c r="Z202"/>
      <c r="AA202"/>
      <c r="AB202"/>
      <c r="AC202"/>
    </row>
    <row r="203" spans="1:29" x14ac:dyDescent="0.25">
      <c r="A203"/>
      <c r="B203"/>
      <c r="C203" s="92"/>
      <c r="L203" s="92"/>
      <c r="M203" s="92"/>
      <c r="Q203" s="115"/>
      <c r="R203" s="92"/>
      <c r="S203"/>
      <c r="T203"/>
      <c r="U203"/>
      <c r="V203"/>
      <c r="W203"/>
      <c r="X203"/>
      <c r="Y203"/>
      <c r="Z203"/>
      <c r="AA203"/>
      <c r="AB203"/>
      <c r="AC203"/>
    </row>
    <row r="204" spans="1:29" x14ac:dyDescent="0.25">
      <c r="A204"/>
      <c r="B204"/>
      <c r="C204" s="92"/>
      <c r="L204" s="92"/>
      <c r="M204" s="92"/>
      <c r="Q204" s="115"/>
      <c r="R204" s="92"/>
      <c r="S204"/>
      <c r="T204"/>
      <c r="U204"/>
      <c r="V204"/>
      <c r="W204"/>
      <c r="X204"/>
      <c r="Y204"/>
      <c r="Z204"/>
      <c r="AA204"/>
      <c r="AB204"/>
      <c r="AC204"/>
    </row>
    <row r="205" spans="1:29" x14ac:dyDescent="0.25">
      <c r="A205"/>
      <c r="B205"/>
      <c r="C205" s="92"/>
      <c r="L205" s="92"/>
      <c r="M205" s="92"/>
      <c r="Q205" s="115"/>
      <c r="R205" s="92"/>
      <c r="S205"/>
      <c r="T205"/>
      <c r="U205"/>
      <c r="V205"/>
      <c r="W205"/>
      <c r="X205"/>
      <c r="Y205"/>
      <c r="Z205"/>
      <c r="AA205"/>
      <c r="AB205"/>
      <c r="AC205"/>
    </row>
    <row r="206" spans="1:29" x14ac:dyDescent="0.25">
      <c r="A206"/>
      <c r="B206"/>
      <c r="C206" s="92"/>
      <c r="L206" s="92"/>
      <c r="M206" s="92"/>
      <c r="Q206" s="115"/>
      <c r="R206" s="92"/>
      <c r="S206"/>
      <c r="T206"/>
      <c r="U206"/>
      <c r="V206"/>
      <c r="W206"/>
      <c r="X206"/>
      <c r="Y206"/>
      <c r="Z206"/>
      <c r="AA206"/>
      <c r="AB206"/>
      <c r="AC206"/>
    </row>
    <row r="207" spans="1:29" x14ac:dyDescent="0.25">
      <c r="A207"/>
      <c r="B207"/>
      <c r="C207" s="92"/>
      <c r="L207" s="92"/>
      <c r="M207" s="92"/>
      <c r="Q207" s="115"/>
      <c r="R207" s="92"/>
      <c r="S207"/>
      <c r="T207"/>
      <c r="U207"/>
      <c r="V207"/>
      <c r="W207"/>
      <c r="X207"/>
      <c r="Y207"/>
      <c r="Z207"/>
      <c r="AA207"/>
      <c r="AB207"/>
      <c r="AC207"/>
    </row>
    <row r="208" spans="1:29" x14ac:dyDescent="0.25">
      <c r="A208"/>
      <c r="B208"/>
      <c r="C208" s="92"/>
      <c r="L208" s="92"/>
      <c r="M208" s="92"/>
      <c r="Q208" s="115"/>
      <c r="R208" s="92"/>
      <c r="S208"/>
      <c r="T208"/>
      <c r="U208"/>
      <c r="V208"/>
      <c r="W208"/>
      <c r="X208"/>
      <c r="Y208"/>
      <c r="Z208"/>
      <c r="AA208"/>
      <c r="AB208"/>
      <c r="AC208"/>
    </row>
    <row r="209" spans="1:29" x14ac:dyDescent="0.25">
      <c r="A209"/>
      <c r="B209"/>
      <c r="C209" s="92"/>
      <c r="L209" s="92"/>
      <c r="M209" s="92"/>
      <c r="Q209" s="115"/>
      <c r="R209" s="92"/>
      <c r="S209"/>
      <c r="T209"/>
      <c r="U209"/>
      <c r="V209"/>
      <c r="W209"/>
      <c r="X209"/>
      <c r="Y209"/>
      <c r="Z209"/>
      <c r="AA209"/>
      <c r="AB209"/>
      <c r="AC209"/>
    </row>
    <row r="210" spans="1:29" x14ac:dyDescent="0.25">
      <c r="A210"/>
      <c r="B210"/>
      <c r="C210" s="92"/>
      <c r="L210" s="92"/>
      <c r="M210" s="92"/>
      <c r="Q210" s="115"/>
      <c r="R210" s="92"/>
      <c r="S210"/>
      <c r="T210"/>
      <c r="U210"/>
      <c r="V210"/>
      <c r="W210"/>
      <c r="X210"/>
      <c r="Y210"/>
      <c r="Z210"/>
      <c r="AA210"/>
      <c r="AB210"/>
      <c r="AC210"/>
    </row>
    <row r="211" spans="1:29" x14ac:dyDescent="0.25">
      <c r="A211"/>
      <c r="B211"/>
      <c r="C211" s="92"/>
      <c r="L211" s="92"/>
      <c r="M211" s="92"/>
      <c r="Q211" s="115"/>
      <c r="R211" s="92"/>
      <c r="S211"/>
      <c r="T211"/>
      <c r="U211"/>
      <c r="V211"/>
      <c r="W211"/>
      <c r="X211"/>
      <c r="Y211"/>
      <c r="Z211"/>
      <c r="AA211"/>
      <c r="AB211"/>
      <c r="AC211"/>
    </row>
    <row r="212" spans="1:29" x14ac:dyDescent="0.25">
      <c r="A212"/>
      <c r="B212"/>
      <c r="C212" s="92"/>
      <c r="L212" s="92"/>
      <c r="M212" s="92"/>
      <c r="Q212" s="115"/>
      <c r="R212" s="92"/>
      <c r="S212"/>
      <c r="T212"/>
      <c r="U212"/>
      <c r="V212"/>
      <c r="W212"/>
      <c r="X212"/>
      <c r="Y212"/>
      <c r="Z212"/>
      <c r="AA212"/>
      <c r="AB212"/>
      <c r="AC212"/>
    </row>
    <row r="213" spans="1:29" x14ac:dyDescent="0.25">
      <c r="A213"/>
      <c r="B213"/>
      <c r="C213" s="92"/>
      <c r="L213" s="92"/>
      <c r="M213" s="92"/>
      <c r="Q213" s="115"/>
      <c r="R213" s="92"/>
      <c r="S213"/>
      <c r="T213"/>
      <c r="U213"/>
      <c r="V213"/>
      <c r="W213"/>
      <c r="X213"/>
      <c r="Y213"/>
      <c r="Z213"/>
      <c r="AA213"/>
      <c r="AB213"/>
      <c r="AC213"/>
    </row>
    <row r="214" spans="1:29" x14ac:dyDescent="0.25">
      <c r="A214"/>
      <c r="B214"/>
      <c r="C214" s="92"/>
      <c r="L214" s="92"/>
      <c r="M214" s="92"/>
      <c r="Q214" s="115"/>
      <c r="R214" s="92"/>
      <c r="S214"/>
      <c r="T214"/>
      <c r="U214"/>
      <c r="V214"/>
      <c r="W214"/>
      <c r="X214"/>
      <c r="Y214"/>
      <c r="Z214"/>
      <c r="AA214"/>
      <c r="AB214"/>
      <c r="AC214"/>
    </row>
    <row r="215" spans="1:29" x14ac:dyDescent="0.25">
      <c r="A215"/>
      <c r="B215"/>
      <c r="C215" s="92"/>
      <c r="L215" s="92"/>
      <c r="M215" s="92"/>
      <c r="Q215" s="115"/>
      <c r="R215" s="92"/>
      <c r="S215"/>
      <c r="T215"/>
      <c r="U215"/>
      <c r="V215"/>
      <c r="W215"/>
      <c r="X215"/>
      <c r="Y215"/>
      <c r="Z215"/>
      <c r="AA215"/>
      <c r="AB215"/>
      <c r="AC215"/>
    </row>
    <row r="216" spans="1:29" x14ac:dyDescent="0.25">
      <c r="A216"/>
      <c r="B216"/>
      <c r="C216" s="92"/>
      <c r="L216" s="92"/>
      <c r="M216" s="92"/>
      <c r="Q216" s="115"/>
      <c r="R216" s="92"/>
      <c r="S216"/>
      <c r="T216"/>
      <c r="U216"/>
      <c r="V216"/>
      <c r="W216"/>
      <c r="X216"/>
      <c r="Y216"/>
      <c r="Z216"/>
      <c r="AA216"/>
      <c r="AB216"/>
      <c r="AC216"/>
    </row>
    <row r="217" spans="1:29" x14ac:dyDescent="0.25">
      <c r="A217"/>
      <c r="B217"/>
      <c r="C217" s="92"/>
      <c r="L217" s="92"/>
      <c r="M217" s="92"/>
      <c r="Q217" s="115"/>
      <c r="R217" s="92"/>
      <c r="S217"/>
      <c r="T217"/>
      <c r="U217"/>
      <c r="V217"/>
      <c r="W217"/>
      <c r="X217"/>
      <c r="Y217"/>
      <c r="Z217"/>
      <c r="AA217"/>
      <c r="AB217"/>
      <c r="AC217"/>
    </row>
    <row r="218" spans="1:29" x14ac:dyDescent="0.25">
      <c r="A218"/>
      <c r="B218"/>
      <c r="C218" s="92"/>
      <c r="L218" s="92"/>
      <c r="M218" s="92"/>
      <c r="Q218" s="115"/>
      <c r="R218" s="92"/>
      <c r="S218"/>
      <c r="T218"/>
      <c r="U218"/>
      <c r="V218"/>
      <c r="W218"/>
      <c r="X218"/>
      <c r="Y218"/>
      <c r="Z218"/>
      <c r="AA218"/>
      <c r="AB218"/>
      <c r="AC218"/>
    </row>
    <row r="219" spans="1:29" x14ac:dyDescent="0.25">
      <c r="A219"/>
      <c r="B219"/>
      <c r="C219" s="92"/>
      <c r="L219" s="92"/>
      <c r="M219" s="92"/>
      <c r="Q219" s="115"/>
      <c r="R219" s="92"/>
      <c r="S219"/>
      <c r="T219"/>
      <c r="U219"/>
      <c r="V219"/>
      <c r="W219"/>
      <c r="X219"/>
      <c r="Y219"/>
      <c r="Z219"/>
      <c r="AA219"/>
      <c r="AB219"/>
      <c r="AC219"/>
    </row>
    <row r="220" spans="1:29" x14ac:dyDescent="0.25">
      <c r="A220"/>
      <c r="B220"/>
      <c r="C220" s="92"/>
      <c r="L220" s="92"/>
      <c r="M220" s="92"/>
      <c r="Q220" s="115"/>
      <c r="R220" s="92"/>
      <c r="S220"/>
      <c r="T220"/>
      <c r="U220"/>
      <c r="V220"/>
      <c r="W220"/>
      <c r="X220"/>
      <c r="Y220"/>
      <c r="Z220"/>
      <c r="AA220"/>
      <c r="AB220"/>
      <c r="AC220"/>
    </row>
    <row r="221" spans="1:29" x14ac:dyDescent="0.25">
      <c r="A221"/>
      <c r="B221"/>
      <c r="C221" s="92"/>
      <c r="L221" s="92"/>
      <c r="M221" s="92"/>
      <c r="Q221" s="115"/>
      <c r="R221" s="92"/>
      <c r="S221"/>
      <c r="T221"/>
      <c r="U221"/>
      <c r="V221"/>
      <c r="W221"/>
      <c r="X221"/>
      <c r="Y221"/>
      <c r="Z221"/>
      <c r="AA221"/>
      <c r="AB221"/>
      <c r="AC221"/>
    </row>
    <row r="222" spans="1:29" x14ac:dyDescent="0.25">
      <c r="A222"/>
      <c r="B222"/>
      <c r="C222" s="92"/>
      <c r="L222" s="92"/>
      <c r="M222" s="92"/>
      <c r="Q222" s="115"/>
      <c r="R222" s="92"/>
      <c r="S222"/>
      <c r="T222"/>
      <c r="U222"/>
      <c r="V222"/>
      <c r="W222"/>
      <c r="X222"/>
      <c r="Y222"/>
      <c r="Z222"/>
      <c r="AA222"/>
      <c r="AB222"/>
      <c r="AC222"/>
    </row>
    <row r="223" spans="1:29" x14ac:dyDescent="0.25">
      <c r="A223"/>
      <c r="B223"/>
      <c r="C223" s="92"/>
      <c r="L223" s="92"/>
      <c r="M223" s="92"/>
      <c r="Q223" s="115"/>
      <c r="R223" s="92"/>
      <c r="S223"/>
      <c r="T223"/>
      <c r="U223"/>
      <c r="V223"/>
      <c r="W223"/>
      <c r="X223"/>
      <c r="Y223"/>
      <c r="Z223"/>
      <c r="AA223"/>
      <c r="AB223"/>
      <c r="AC223"/>
    </row>
    <row r="224" spans="1:29" x14ac:dyDescent="0.25">
      <c r="A224"/>
      <c r="B224"/>
      <c r="C224" s="92"/>
      <c r="L224" s="92"/>
      <c r="M224" s="92"/>
      <c r="Q224" s="115"/>
      <c r="R224" s="92"/>
      <c r="S224"/>
      <c r="T224"/>
      <c r="U224"/>
      <c r="V224"/>
      <c r="W224"/>
      <c r="X224"/>
      <c r="Y224"/>
      <c r="Z224"/>
      <c r="AA224"/>
      <c r="AB224"/>
      <c r="AC224"/>
    </row>
    <row r="225" spans="1:29" x14ac:dyDescent="0.25">
      <c r="A225"/>
      <c r="B225"/>
      <c r="C225" s="92"/>
      <c r="L225" s="92"/>
      <c r="M225" s="92"/>
      <c r="Q225" s="115"/>
      <c r="R225" s="92"/>
      <c r="S225"/>
      <c r="T225"/>
      <c r="U225"/>
      <c r="V225"/>
      <c r="W225"/>
      <c r="X225"/>
      <c r="Y225"/>
      <c r="Z225"/>
      <c r="AA225"/>
      <c r="AB225"/>
      <c r="AC225"/>
    </row>
    <row r="226" spans="1:29" x14ac:dyDescent="0.25">
      <c r="A226"/>
      <c r="B226"/>
      <c r="C226" s="92"/>
      <c r="L226" s="92"/>
      <c r="M226" s="92"/>
      <c r="Q226" s="115"/>
      <c r="R226" s="92"/>
      <c r="S226"/>
      <c r="T226"/>
      <c r="U226"/>
      <c r="V226"/>
      <c r="W226"/>
      <c r="X226"/>
      <c r="Y226"/>
      <c r="Z226"/>
      <c r="AA226"/>
      <c r="AB226"/>
      <c r="AC226"/>
    </row>
    <row r="227" spans="1:29" x14ac:dyDescent="0.25">
      <c r="A227"/>
      <c r="B227"/>
      <c r="C227" s="92"/>
      <c r="L227" s="92"/>
      <c r="M227" s="92"/>
      <c r="Q227" s="115"/>
      <c r="R227" s="92"/>
      <c r="S227"/>
      <c r="T227"/>
      <c r="U227"/>
      <c r="V227"/>
      <c r="W227"/>
      <c r="X227"/>
      <c r="Y227"/>
      <c r="Z227"/>
      <c r="AA227"/>
      <c r="AB227"/>
      <c r="AC227"/>
    </row>
    <row r="228" spans="1:29" x14ac:dyDescent="0.25">
      <c r="A228"/>
      <c r="B228"/>
      <c r="C228" s="92"/>
      <c r="L228" s="92"/>
      <c r="M228" s="92"/>
      <c r="Q228" s="115"/>
      <c r="R228" s="92"/>
      <c r="S228"/>
      <c r="T228"/>
      <c r="U228"/>
      <c r="V228"/>
      <c r="W228"/>
      <c r="X228"/>
      <c r="Y228"/>
      <c r="Z228"/>
      <c r="AA228"/>
      <c r="AB228"/>
      <c r="AC228"/>
    </row>
    <row r="229" spans="1:29" x14ac:dyDescent="0.25">
      <c r="A229"/>
      <c r="B229"/>
      <c r="C229" s="92"/>
      <c r="L229" s="92"/>
      <c r="M229" s="92"/>
      <c r="Q229" s="115"/>
      <c r="R229" s="92"/>
      <c r="S229"/>
      <c r="T229"/>
      <c r="U229"/>
      <c r="V229"/>
      <c r="W229"/>
      <c r="X229"/>
      <c r="Y229"/>
      <c r="Z229"/>
      <c r="AA229"/>
      <c r="AB229"/>
      <c r="AC229"/>
    </row>
    <row r="230" spans="1:29" x14ac:dyDescent="0.25">
      <c r="A230"/>
      <c r="B230"/>
      <c r="C230" s="92"/>
      <c r="L230" s="92"/>
      <c r="M230" s="92"/>
      <c r="Q230" s="115"/>
      <c r="R230" s="92"/>
      <c r="S230"/>
      <c r="T230"/>
      <c r="U230"/>
      <c r="V230"/>
      <c r="W230"/>
      <c r="X230"/>
      <c r="Y230"/>
      <c r="Z230"/>
      <c r="AA230"/>
      <c r="AB230"/>
      <c r="AC230"/>
    </row>
    <row r="231" spans="1:29" x14ac:dyDescent="0.25">
      <c r="A231"/>
      <c r="B231"/>
      <c r="C231" s="92"/>
      <c r="L231" s="92"/>
      <c r="M231" s="92"/>
      <c r="Q231" s="115"/>
      <c r="R231" s="92"/>
      <c r="S231"/>
      <c r="T231"/>
      <c r="U231"/>
      <c r="V231"/>
      <c r="W231"/>
      <c r="X231"/>
      <c r="Y231"/>
      <c r="Z231"/>
      <c r="AA231"/>
      <c r="AB231"/>
      <c r="AC231"/>
    </row>
    <row r="232" spans="1:29" x14ac:dyDescent="0.25">
      <c r="A232"/>
      <c r="B232"/>
      <c r="C232" s="92"/>
      <c r="L232" s="92"/>
      <c r="M232" s="92"/>
      <c r="Q232" s="115"/>
      <c r="R232" s="92"/>
      <c r="S232"/>
      <c r="T232"/>
      <c r="U232"/>
      <c r="V232"/>
      <c r="W232"/>
      <c r="X232"/>
      <c r="Y232"/>
      <c r="Z232"/>
      <c r="AA232"/>
      <c r="AB232"/>
      <c r="AC232"/>
    </row>
    <row r="233" spans="1:29" x14ac:dyDescent="0.25">
      <c r="A233"/>
      <c r="B233"/>
      <c r="C233" s="92"/>
      <c r="L233" s="92"/>
      <c r="M233" s="92"/>
      <c r="Q233" s="115"/>
      <c r="R233" s="92"/>
      <c r="S233"/>
      <c r="T233"/>
      <c r="U233"/>
      <c r="V233"/>
      <c r="W233"/>
      <c r="X233"/>
      <c r="Y233"/>
      <c r="Z233"/>
      <c r="AA233"/>
      <c r="AB233"/>
      <c r="AC233"/>
    </row>
    <row r="234" spans="1:29" x14ac:dyDescent="0.25">
      <c r="A234"/>
      <c r="B234"/>
      <c r="C234" s="92"/>
      <c r="L234" s="92"/>
      <c r="M234" s="92"/>
      <c r="Q234" s="115"/>
      <c r="R234" s="92"/>
      <c r="S234"/>
      <c r="T234"/>
      <c r="U234"/>
      <c r="V234"/>
      <c r="W234"/>
      <c r="X234"/>
      <c r="Y234"/>
      <c r="Z234"/>
      <c r="AA234"/>
      <c r="AB234"/>
      <c r="AC234"/>
    </row>
    <row r="235" spans="1:29" x14ac:dyDescent="0.25">
      <c r="A235"/>
      <c r="B235"/>
      <c r="C235" s="92"/>
      <c r="L235" s="92"/>
      <c r="M235" s="92"/>
      <c r="Q235" s="115"/>
      <c r="R235" s="92"/>
      <c r="S235"/>
      <c r="T235"/>
      <c r="U235"/>
      <c r="V235"/>
      <c r="W235"/>
      <c r="X235"/>
      <c r="Y235"/>
      <c r="Z235"/>
      <c r="AA235"/>
      <c r="AB235"/>
      <c r="AC235"/>
    </row>
    <row r="236" spans="1:29" x14ac:dyDescent="0.25">
      <c r="A236"/>
      <c r="B236"/>
      <c r="C236" s="92"/>
      <c r="L236" s="92"/>
      <c r="M236" s="92"/>
      <c r="Q236" s="115"/>
      <c r="R236" s="92"/>
      <c r="S236"/>
      <c r="T236"/>
      <c r="U236"/>
      <c r="V236"/>
      <c r="W236"/>
      <c r="X236"/>
      <c r="Y236"/>
      <c r="Z236"/>
      <c r="AA236"/>
      <c r="AB236"/>
      <c r="AC236"/>
    </row>
    <row r="237" spans="1:29" x14ac:dyDescent="0.25">
      <c r="A237"/>
      <c r="B237"/>
      <c r="C237" s="92"/>
      <c r="L237" s="92"/>
      <c r="M237" s="92"/>
      <c r="Q237" s="115"/>
      <c r="R237" s="92"/>
      <c r="S237"/>
      <c r="T237"/>
      <c r="U237"/>
      <c r="V237"/>
      <c r="W237"/>
      <c r="X237"/>
      <c r="Y237"/>
      <c r="Z237"/>
      <c r="AA237"/>
      <c r="AB237"/>
      <c r="AC237"/>
    </row>
    <row r="238" spans="1:29" x14ac:dyDescent="0.25">
      <c r="A238"/>
      <c r="B238"/>
      <c r="C238" s="92"/>
      <c r="L238" s="92"/>
      <c r="M238" s="92"/>
      <c r="Q238" s="115"/>
      <c r="R238" s="92"/>
      <c r="S238"/>
      <c r="T238"/>
      <c r="U238"/>
      <c r="V238"/>
      <c r="W238"/>
      <c r="X238"/>
      <c r="Y238"/>
      <c r="Z238"/>
      <c r="AA238"/>
      <c r="AB238"/>
      <c r="AC238"/>
    </row>
    <row r="239" spans="1:29" x14ac:dyDescent="0.25">
      <c r="A239"/>
      <c r="B239"/>
      <c r="C239" s="92"/>
      <c r="L239" s="92"/>
      <c r="M239" s="92"/>
      <c r="Q239" s="115"/>
      <c r="R239" s="92"/>
      <c r="S239"/>
      <c r="T239"/>
      <c r="U239"/>
      <c r="V239"/>
      <c r="W239"/>
      <c r="X239"/>
      <c r="Y239"/>
      <c r="Z239"/>
      <c r="AA239"/>
      <c r="AB239"/>
      <c r="AC239"/>
    </row>
    <row r="240" spans="1:29" x14ac:dyDescent="0.25">
      <c r="A240"/>
      <c r="B240"/>
      <c r="C240" s="92"/>
      <c r="L240" s="92"/>
      <c r="M240" s="92"/>
      <c r="Q240" s="115"/>
      <c r="R240" s="92"/>
      <c r="S240"/>
      <c r="T240"/>
      <c r="U240"/>
      <c r="V240"/>
      <c r="W240"/>
      <c r="X240"/>
      <c r="Y240"/>
      <c r="Z240"/>
      <c r="AA240"/>
      <c r="AB240"/>
      <c r="AC240"/>
    </row>
    <row r="241" spans="1:29" x14ac:dyDescent="0.25">
      <c r="A241"/>
      <c r="B241"/>
      <c r="C241" s="92"/>
      <c r="L241" s="92"/>
      <c r="M241" s="92"/>
      <c r="Q241" s="115"/>
      <c r="R241" s="92"/>
      <c r="S241"/>
      <c r="T241"/>
      <c r="U241"/>
      <c r="V241"/>
      <c r="W241"/>
      <c r="X241"/>
      <c r="Y241"/>
      <c r="Z241"/>
      <c r="AA241"/>
      <c r="AB241"/>
      <c r="AC241"/>
    </row>
    <row r="242" spans="1:29" x14ac:dyDescent="0.25">
      <c r="A242"/>
      <c r="B242"/>
      <c r="C242" s="92"/>
      <c r="L242" s="92"/>
      <c r="M242" s="92"/>
      <c r="Q242" s="115"/>
      <c r="R242" s="92"/>
      <c r="S242"/>
      <c r="T242"/>
      <c r="U242"/>
      <c r="V242"/>
      <c r="W242"/>
      <c r="X242"/>
      <c r="Y242"/>
      <c r="Z242"/>
      <c r="AA242"/>
      <c r="AB242"/>
      <c r="AC242"/>
    </row>
    <row r="243" spans="1:29" x14ac:dyDescent="0.25">
      <c r="A243"/>
      <c r="B243"/>
      <c r="C243" s="92"/>
      <c r="L243" s="92"/>
      <c r="M243" s="92"/>
      <c r="Q243" s="115"/>
      <c r="R243" s="92"/>
      <c r="S243"/>
      <c r="T243"/>
      <c r="U243"/>
      <c r="V243"/>
      <c r="W243"/>
      <c r="X243"/>
      <c r="Y243"/>
      <c r="Z243"/>
      <c r="AA243"/>
      <c r="AB243"/>
      <c r="AC243"/>
    </row>
    <row r="244" spans="1:29" x14ac:dyDescent="0.25">
      <c r="A244"/>
      <c r="B244"/>
      <c r="C244" s="92"/>
      <c r="L244" s="92"/>
      <c r="M244" s="92"/>
      <c r="Q244" s="115"/>
      <c r="R244" s="92"/>
      <c r="S244"/>
      <c r="T244"/>
      <c r="U244"/>
      <c r="V244"/>
      <c r="W244"/>
      <c r="X244"/>
      <c r="Y244"/>
      <c r="Z244"/>
      <c r="AA244"/>
      <c r="AB244"/>
      <c r="AC244"/>
    </row>
    <row r="245" spans="1:29" x14ac:dyDescent="0.25">
      <c r="A245"/>
      <c r="B245"/>
      <c r="C245" s="92"/>
      <c r="L245" s="92"/>
      <c r="M245" s="92"/>
      <c r="Q245" s="115"/>
      <c r="R245" s="92"/>
      <c r="S245"/>
      <c r="T245"/>
      <c r="U245"/>
      <c r="V245"/>
      <c r="W245"/>
      <c r="X245"/>
      <c r="Y245"/>
      <c r="Z245"/>
      <c r="AA245"/>
      <c r="AB245"/>
      <c r="AC245"/>
    </row>
    <row r="246" spans="1:29" x14ac:dyDescent="0.25">
      <c r="A246"/>
      <c r="B246"/>
      <c r="C246" s="92"/>
      <c r="L246" s="92"/>
      <c r="M246" s="92"/>
      <c r="Q246" s="115"/>
      <c r="R246" s="92"/>
      <c r="S246"/>
      <c r="T246"/>
      <c r="U246"/>
      <c r="V246"/>
      <c r="W246"/>
      <c r="X246"/>
      <c r="Y246"/>
      <c r="Z246"/>
      <c r="AA246"/>
      <c r="AB246"/>
      <c r="AC246"/>
    </row>
    <row r="247" spans="1:29" x14ac:dyDescent="0.25">
      <c r="A247"/>
      <c r="B247"/>
      <c r="C247" s="92"/>
      <c r="L247" s="92"/>
      <c r="M247" s="92"/>
      <c r="Q247" s="115"/>
      <c r="R247" s="92"/>
      <c r="S247"/>
      <c r="T247"/>
      <c r="U247"/>
      <c r="V247"/>
      <c r="W247"/>
      <c r="X247"/>
      <c r="Y247"/>
      <c r="Z247"/>
      <c r="AA247"/>
      <c r="AB247"/>
      <c r="AC247"/>
    </row>
    <row r="248" spans="1:29" x14ac:dyDescent="0.25">
      <c r="A248"/>
      <c r="B248"/>
      <c r="C248" s="92"/>
      <c r="L248" s="92"/>
      <c r="M248" s="92"/>
      <c r="Q248" s="115"/>
      <c r="R248" s="92"/>
      <c r="S248"/>
      <c r="T248"/>
      <c r="U248"/>
      <c r="V248"/>
      <c r="W248"/>
      <c r="X248"/>
      <c r="Y248"/>
      <c r="Z248"/>
      <c r="AA248"/>
      <c r="AB248"/>
      <c r="AC248"/>
    </row>
    <row r="249" spans="1:29" x14ac:dyDescent="0.25">
      <c r="A249"/>
      <c r="B249"/>
      <c r="C249" s="92"/>
      <c r="L249" s="92"/>
      <c r="M249" s="92"/>
      <c r="Q249" s="115"/>
      <c r="R249" s="92"/>
      <c r="S249"/>
      <c r="T249"/>
      <c r="U249"/>
      <c r="V249"/>
      <c r="W249"/>
      <c r="X249"/>
      <c r="Y249"/>
      <c r="Z249"/>
      <c r="AA249"/>
      <c r="AB249"/>
      <c r="AC249"/>
    </row>
    <row r="250" spans="1:29" x14ac:dyDescent="0.25">
      <c r="A250"/>
      <c r="B250"/>
      <c r="C250" s="92"/>
      <c r="L250" s="92"/>
      <c r="M250" s="92"/>
      <c r="Q250" s="115"/>
      <c r="R250" s="92"/>
      <c r="S250"/>
      <c r="T250"/>
      <c r="U250"/>
      <c r="V250"/>
      <c r="W250"/>
      <c r="X250"/>
      <c r="Y250"/>
      <c r="Z250"/>
      <c r="AA250"/>
      <c r="AB250"/>
      <c r="AC250"/>
    </row>
    <row r="251" spans="1:29" x14ac:dyDescent="0.25">
      <c r="A251"/>
      <c r="B251"/>
      <c r="C251" s="92"/>
      <c r="L251" s="92"/>
      <c r="M251" s="92"/>
      <c r="Q251" s="115"/>
      <c r="R251" s="92"/>
      <c r="S251"/>
      <c r="T251"/>
      <c r="U251"/>
      <c r="V251"/>
      <c r="W251"/>
      <c r="X251"/>
      <c r="Y251"/>
      <c r="Z251"/>
      <c r="AA251"/>
      <c r="AB251"/>
      <c r="AC251"/>
    </row>
    <row r="252" spans="1:29" x14ac:dyDescent="0.25">
      <c r="A252"/>
      <c r="B252"/>
      <c r="C252" s="92"/>
      <c r="L252" s="92"/>
      <c r="M252" s="92"/>
      <c r="Q252" s="115"/>
      <c r="R252" s="92"/>
      <c r="S252"/>
      <c r="T252"/>
      <c r="U252"/>
      <c r="V252"/>
      <c r="W252"/>
      <c r="X252"/>
      <c r="Y252"/>
      <c r="Z252"/>
      <c r="AA252"/>
      <c r="AB252"/>
      <c r="AC252"/>
    </row>
    <row r="253" spans="1:29" x14ac:dyDescent="0.25">
      <c r="A253"/>
      <c r="B253"/>
      <c r="C253" s="92"/>
      <c r="L253" s="92"/>
      <c r="M253" s="92"/>
      <c r="Q253" s="115"/>
      <c r="R253" s="92"/>
      <c r="S253"/>
      <c r="T253"/>
      <c r="U253"/>
      <c r="V253"/>
      <c r="W253"/>
      <c r="X253"/>
      <c r="Y253"/>
      <c r="Z253"/>
      <c r="AA253"/>
      <c r="AB253"/>
      <c r="AC253"/>
    </row>
    <row r="254" spans="1:29" x14ac:dyDescent="0.25">
      <c r="A254"/>
      <c r="B254"/>
      <c r="C254" s="92"/>
      <c r="L254" s="92"/>
      <c r="M254" s="92"/>
      <c r="Q254" s="115"/>
      <c r="R254" s="92"/>
      <c r="S254"/>
      <c r="T254"/>
      <c r="U254"/>
      <c r="V254"/>
      <c r="W254"/>
      <c r="X254"/>
      <c r="Y254"/>
      <c r="Z254"/>
      <c r="AA254"/>
      <c r="AB254"/>
      <c r="AC254"/>
    </row>
    <row r="255" spans="1:29" x14ac:dyDescent="0.25">
      <c r="A255"/>
      <c r="B255"/>
      <c r="C255" s="92"/>
      <c r="L255" s="92"/>
      <c r="M255" s="92"/>
      <c r="Q255" s="115"/>
      <c r="R255" s="92"/>
      <c r="S255"/>
      <c r="T255"/>
      <c r="U255"/>
      <c r="V255"/>
      <c r="W255"/>
      <c r="X255"/>
      <c r="Y255"/>
      <c r="Z255"/>
      <c r="AA255"/>
      <c r="AB255"/>
      <c r="AC255"/>
    </row>
    <row r="256" spans="1:29" x14ac:dyDescent="0.25">
      <c r="A256"/>
      <c r="B256"/>
      <c r="C256" s="92"/>
      <c r="L256" s="92"/>
      <c r="M256" s="92"/>
      <c r="Q256" s="115"/>
      <c r="R256" s="92"/>
      <c r="S256"/>
      <c r="T256"/>
      <c r="U256"/>
      <c r="V256"/>
      <c r="W256"/>
      <c r="X256"/>
      <c r="Y256"/>
      <c r="Z256"/>
      <c r="AA256"/>
      <c r="AB256"/>
      <c r="AC256"/>
    </row>
    <row r="257" spans="1:29" x14ac:dyDescent="0.25">
      <c r="A257"/>
      <c r="B257"/>
      <c r="C257" s="92"/>
      <c r="L257" s="92"/>
      <c r="M257" s="92"/>
      <c r="Q257" s="115"/>
      <c r="R257" s="92"/>
      <c r="S257"/>
      <c r="T257"/>
      <c r="U257"/>
      <c r="V257"/>
      <c r="W257"/>
      <c r="X257"/>
      <c r="Y257"/>
      <c r="Z257"/>
      <c r="AA257"/>
      <c r="AB257"/>
      <c r="AC257"/>
    </row>
    <row r="258" spans="1:29" x14ac:dyDescent="0.25">
      <c r="A258"/>
      <c r="B258"/>
      <c r="C258" s="92"/>
      <c r="L258" s="92"/>
      <c r="M258" s="92"/>
      <c r="Q258" s="115"/>
      <c r="R258" s="92"/>
      <c r="S258"/>
      <c r="T258"/>
      <c r="U258"/>
      <c r="V258"/>
      <c r="W258"/>
      <c r="X258"/>
      <c r="Y258"/>
      <c r="Z258"/>
      <c r="AA258"/>
      <c r="AB258"/>
      <c r="AC258"/>
    </row>
    <row r="259" spans="1:29" x14ac:dyDescent="0.25">
      <c r="A259"/>
      <c r="B259"/>
      <c r="C259" s="92"/>
      <c r="L259" s="92"/>
      <c r="M259" s="92"/>
      <c r="Q259" s="115"/>
      <c r="R259" s="92"/>
      <c r="S259"/>
      <c r="T259"/>
      <c r="U259"/>
      <c r="V259"/>
      <c r="W259"/>
      <c r="X259"/>
      <c r="Y259"/>
      <c r="Z259"/>
      <c r="AA259"/>
      <c r="AB259"/>
      <c r="AC259"/>
    </row>
    <row r="260" spans="1:29" x14ac:dyDescent="0.25">
      <c r="A260"/>
      <c r="B260"/>
      <c r="C260" s="92"/>
      <c r="L260" s="92"/>
      <c r="M260" s="92"/>
      <c r="Q260" s="115"/>
      <c r="R260" s="92"/>
      <c r="S260"/>
      <c r="T260"/>
      <c r="U260"/>
      <c r="V260"/>
      <c r="W260"/>
      <c r="X260"/>
      <c r="Y260"/>
      <c r="Z260"/>
      <c r="AA260"/>
      <c r="AB260"/>
      <c r="AC260"/>
    </row>
    <row r="261" spans="1:29" x14ac:dyDescent="0.25">
      <c r="A261"/>
      <c r="B261"/>
      <c r="C261" s="92"/>
      <c r="L261" s="92"/>
      <c r="M261" s="92"/>
      <c r="Q261" s="115"/>
      <c r="R261" s="92"/>
      <c r="S261"/>
      <c r="T261"/>
      <c r="U261"/>
      <c r="V261"/>
      <c r="W261"/>
      <c r="X261"/>
      <c r="Y261"/>
      <c r="Z261"/>
      <c r="AA261"/>
      <c r="AB261"/>
      <c r="AC261"/>
    </row>
    <row r="262" spans="1:29" x14ac:dyDescent="0.25">
      <c r="A262"/>
      <c r="B262"/>
      <c r="C262" s="92"/>
      <c r="L262" s="92"/>
      <c r="M262" s="92"/>
      <c r="Q262" s="115"/>
      <c r="R262" s="92"/>
      <c r="S262"/>
      <c r="T262"/>
      <c r="U262"/>
      <c r="V262"/>
      <c r="W262"/>
      <c r="X262"/>
      <c r="Y262"/>
      <c r="Z262"/>
      <c r="AA262"/>
      <c r="AB262"/>
      <c r="AC262"/>
    </row>
    <row r="263" spans="1:29" x14ac:dyDescent="0.25">
      <c r="A263"/>
      <c r="B263"/>
      <c r="C263" s="92"/>
      <c r="L263" s="92"/>
      <c r="M263" s="92"/>
      <c r="Q263" s="115"/>
      <c r="R263" s="92"/>
      <c r="S263"/>
      <c r="T263"/>
      <c r="U263"/>
      <c r="V263"/>
      <c r="W263"/>
      <c r="X263"/>
      <c r="Y263"/>
      <c r="Z263"/>
      <c r="AA263"/>
      <c r="AB263"/>
      <c r="AC263"/>
    </row>
    <row r="264" spans="1:29" x14ac:dyDescent="0.25">
      <c r="A264"/>
      <c r="B264"/>
      <c r="C264" s="92"/>
      <c r="L264" s="92"/>
      <c r="M264" s="92"/>
      <c r="Q264" s="115"/>
      <c r="R264" s="92"/>
      <c r="S264"/>
      <c r="T264"/>
      <c r="U264"/>
      <c r="V264"/>
      <c r="W264"/>
      <c r="X264"/>
      <c r="Y264"/>
      <c r="Z264"/>
      <c r="AA264"/>
      <c r="AB264"/>
      <c r="AC264"/>
    </row>
    <row r="265" spans="1:29" x14ac:dyDescent="0.25">
      <c r="A265"/>
      <c r="B265"/>
      <c r="C265" s="92"/>
      <c r="L265" s="92"/>
      <c r="M265" s="92"/>
      <c r="Q265" s="115"/>
      <c r="R265" s="92"/>
      <c r="S265"/>
      <c r="T265"/>
      <c r="U265"/>
      <c r="V265"/>
      <c r="W265"/>
      <c r="X265"/>
      <c r="Y265"/>
      <c r="Z265"/>
      <c r="AA265"/>
      <c r="AB265"/>
      <c r="AC265"/>
    </row>
    <row r="266" spans="1:29" x14ac:dyDescent="0.25">
      <c r="A266"/>
      <c r="B266"/>
      <c r="C266" s="92"/>
      <c r="L266" s="92"/>
      <c r="M266" s="92"/>
      <c r="Q266" s="115"/>
      <c r="R266" s="92"/>
      <c r="S266"/>
      <c r="T266"/>
      <c r="U266"/>
      <c r="V266"/>
      <c r="W266"/>
      <c r="X266"/>
      <c r="Y266"/>
      <c r="Z266"/>
      <c r="AA266"/>
      <c r="AB266"/>
      <c r="AC266"/>
    </row>
    <row r="267" spans="1:29" x14ac:dyDescent="0.25">
      <c r="A267"/>
      <c r="B267"/>
      <c r="C267" s="92"/>
      <c r="L267" s="92"/>
      <c r="M267" s="92"/>
      <c r="Q267" s="115"/>
      <c r="R267" s="92"/>
      <c r="S267"/>
      <c r="T267"/>
      <c r="U267"/>
      <c r="V267"/>
      <c r="W267"/>
      <c r="X267"/>
      <c r="Y267"/>
      <c r="Z267"/>
      <c r="AA267"/>
      <c r="AB267"/>
      <c r="AC267"/>
    </row>
    <row r="268" spans="1:29" x14ac:dyDescent="0.25">
      <c r="A268"/>
      <c r="B268"/>
      <c r="C268" s="92"/>
      <c r="L268" s="92"/>
      <c r="M268" s="92"/>
      <c r="Q268" s="115"/>
      <c r="R268" s="92"/>
      <c r="S268"/>
      <c r="T268"/>
      <c r="U268"/>
      <c r="V268"/>
      <c r="W268"/>
      <c r="X268"/>
      <c r="Y268"/>
      <c r="Z268"/>
      <c r="AA268"/>
      <c r="AB268"/>
      <c r="AC268"/>
    </row>
    <row r="269" spans="1:29" x14ac:dyDescent="0.25">
      <c r="A269"/>
      <c r="B269"/>
      <c r="C269" s="92"/>
      <c r="L269" s="92"/>
      <c r="M269" s="92"/>
      <c r="Q269" s="115"/>
      <c r="R269" s="92"/>
      <c r="S269"/>
      <c r="T269"/>
      <c r="U269"/>
      <c r="V269"/>
      <c r="W269"/>
      <c r="X269"/>
      <c r="Y269"/>
      <c r="Z269"/>
      <c r="AA269"/>
      <c r="AB269"/>
      <c r="AC269"/>
    </row>
    <row r="270" spans="1:29" x14ac:dyDescent="0.25">
      <c r="A270"/>
      <c r="B270"/>
      <c r="C270" s="92"/>
      <c r="L270" s="92"/>
      <c r="M270" s="92"/>
      <c r="Q270" s="115"/>
      <c r="R270" s="92"/>
      <c r="S270"/>
      <c r="T270"/>
      <c r="U270"/>
      <c r="V270"/>
      <c r="W270"/>
      <c r="X270"/>
      <c r="Y270"/>
      <c r="Z270"/>
      <c r="AA270"/>
      <c r="AB270"/>
      <c r="AC270"/>
    </row>
    <row r="271" spans="1:29" x14ac:dyDescent="0.25">
      <c r="A271"/>
      <c r="B271"/>
      <c r="C271" s="92"/>
      <c r="L271" s="92"/>
      <c r="M271" s="92"/>
      <c r="Q271" s="115"/>
      <c r="R271" s="92"/>
      <c r="S271"/>
      <c r="T271"/>
      <c r="U271"/>
      <c r="V271"/>
      <c r="W271"/>
      <c r="X271"/>
      <c r="Y271"/>
      <c r="Z271"/>
      <c r="AA271"/>
      <c r="AB271"/>
      <c r="AC271"/>
    </row>
    <row r="272" spans="1:29" x14ac:dyDescent="0.25">
      <c r="A272"/>
      <c r="B272"/>
      <c r="C272" s="92"/>
      <c r="L272" s="92"/>
      <c r="M272" s="92"/>
      <c r="Q272" s="115"/>
      <c r="R272" s="92"/>
      <c r="S272"/>
      <c r="T272"/>
      <c r="U272"/>
      <c r="V272"/>
      <c r="W272"/>
      <c r="X272"/>
      <c r="Y272"/>
      <c r="Z272"/>
      <c r="AA272"/>
      <c r="AB272"/>
      <c r="AC272"/>
    </row>
    <row r="273" spans="1:29" x14ac:dyDescent="0.25">
      <c r="A273"/>
      <c r="B273"/>
      <c r="C273" s="92"/>
      <c r="L273" s="92"/>
      <c r="M273" s="92"/>
      <c r="Q273" s="115"/>
      <c r="R273" s="92"/>
      <c r="S273"/>
      <c r="T273"/>
      <c r="U273"/>
      <c r="V273"/>
      <c r="W273"/>
      <c r="X273"/>
      <c r="Y273"/>
      <c r="Z273"/>
      <c r="AA273"/>
      <c r="AB273"/>
      <c r="AC273"/>
    </row>
    <row r="274" spans="1:29" x14ac:dyDescent="0.25">
      <c r="A274"/>
      <c r="B274"/>
      <c r="C274" s="92"/>
      <c r="L274" s="92"/>
      <c r="M274" s="92"/>
      <c r="Q274" s="115"/>
      <c r="R274" s="92"/>
      <c r="S274"/>
      <c r="T274"/>
      <c r="U274"/>
      <c r="V274"/>
      <c r="W274"/>
      <c r="X274"/>
      <c r="Y274"/>
      <c r="Z274"/>
      <c r="AA274"/>
      <c r="AB274"/>
      <c r="AC274"/>
    </row>
    <row r="275" spans="1:29" x14ac:dyDescent="0.25">
      <c r="A275"/>
      <c r="B275"/>
      <c r="C275" s="92"/>
      <c r="L275" s="92"/>
      <c r="M275" s="92"/>
      <c r="Q275" s="115"/>
      <c r="R275" s="92"/>
      <c r="S275"/>
      <c r="T275"/>
      <c r="U275"/>
      <c r="V275"/>
      <c r="W275"/>
      <c r="X275"/>
      <c r="Y275"/>
      <c r="Z275"/>
      <c r="AA275"/>
      <c r="AB275"/>
      <c r="AC275"/>
    </row>
    <row r="276" spans="1:29" x14ac:dyDescent="0.25">
      <c r="A276"/>
      <c r="B276"/>
      <c r="C276" s="92"/>
      <c r="L276" s="92"/>
      <c r="M276" s="92"/>
      <c r="Q276" s="115"/>
      <c r="R276" s="92"/>
      <c r="S276"/>
      <c r="T276"/>
      <c r="U276"/>
      <c r="V276"/>
      <c r="W276"/>
      <c r="X276"/>
      <c r="Y276"/>
      <c r="Z276"/>
      <c r="AA276"/>
      <c r="AB276"/>
      <c r="AC276"/>
    </row>
    <row r="277" spans="1:29" x14ac:dyDescent="0.25">
      <c r="A277"/>
      <c r="B277"/>
      <c r="C277" s="92"/>
      <c r="L277" s="92"/>
      <c r="M277" s="92"/>
      <c r="Q277" s="115"/>
      <c r="R277" s="92"/>
      <c r="S277"/>
      <c r="T277"/>
      <c r="U277"/>
      <c r="V277"/>
      <c r="W277"/>
      <c r="X277"/>
      <c r="Y277"/>
      <c r="Z277"/>
      <c r="AA277"/>
      <c r="AB277"/>
      <c r="AC277"/>
    </row>
    <row r="278" spans="1:29" x14ac:dyDescent="0.25">
      <c r="A278"/>
      <c r="B278"/>
      <c r="C278" s="92"/>
      <c r="L278" s="92"/>
      <c r="M278" s="92"/>
      <c r="Q278" s="115"/>
      <c r="R278" s="92"/>
      <c r="S278"/>
      <c r="T278"/>
      <c r="U278"/>
      <c r="V278"/>
      <c r="W278"/>
      <c r="X278"/>
      <c r="Y278"/>
      <c r="Z278"/>
      <c r="AA278"/>
      <c r="AB278"/>
      <c r="AC278"/>
    </row>
    <row r="279" spans="1:29" x14ac:dyDescent="0.25">
      <c r="A279"/>
      <c r="B279"/>
      <c r="C279" s="92"/>
      <c r="L279" s="92"/>
      <c r="M279" s="92"/>
      <c r="Q279" s="115"/>
      <c r="R279" s="92"/>
      <c r="S279"/>
      <c r="T279"/>
      <c r="U279"/>
      <c r="V279"/>
      <c r="W279"/>
      <c r="X279"/>
      <c r="Y279"/>
      <c r="Z279"/>
      <c r="AA279"/>
      <c r="AB279"/>
      <c r="AC279"/>
    </row>
    <row r="280" spans="1:29" x14ac:dyDescent="0.25">
      <c r="A280"/>
      <c r="B280"/>
      <c r="C280" s="92"/>
      <c r="L280" s="92"/>
      <c r="M280" s="92"/>
      <c r="Q280" s="115"/>
      <c r="R280" s="92"/>
      <c r="S280"/>
      <c r="T280"/>
      <c r="U280"/>
      <c r="V280"/>
      <c r="W280"/>
      <c r="X280"/>
      <c r="Y280"/>
      <c r="Z280"/>
      <c r="AA280"/>
      <c r="AB280"/>
      <c r="AC280"/>
    </row>
    <row r="281" spans="1:29" x14ac:dyDescent="0.25">
      <c r="A281"/>
      <c r="B281"/>
      <c r="C281" s="92"/>
      <c r="L281" s="92"/>
      <c r="M281" s="92"/>
      <c r="Q281" s="115"/>
      <c r="R281" s="92"/>
      <c r="S281"/>
      <c r="T281"/>
      <c r="U281"/>
      <c r="V281"/>
      <c r="W281"/>
      <c r="X281"/>
      <c r="Y281"/>
      <c r="Z281"/>
      <c r="AA281"/>
      <c r="AB281"/>
      <c r="AC281"/>
    </row>
    <row r="282" spans="1:29" x14ac:dyDescent="0.25">
      <c r="A282"/>
      <c r="B282"/>
      <c r="C282" s="92"/>
      <c r="L282" s="92"/>
      <c r="M282" s="92"/>
      <c r="Q282" s="115"/>
      <c r="R282" s="92"/>
      <c r="S282"/>
      <c r="T282"/>
      <c r="U282"/>
      <c r="V282"/>
      <c r="W282"/>
      <c r="X282"/>
      <c r="Y282"/>
      <c r="Z282"/>
      <c r="AA282"/>
      <c r="AB282"/>
      <c r="AC282"/>
    </row>
    <row r="283" spans="1:29" x14ac:dyDescent="0.25">
      <c r="A283"/>
      <c r="B283"/>
      <c r="C283" s="92"/>
      <c r="L283" s="92"/>
      <c r="M283" s="92"/>
      <c r="Q283" s="115"/>
      <c r="R283" s="92"/>
      <c r="S283"/>
      <c r="T283"/>
      <c r="U283"/>
      <c r="V283"/>
      <c r="W283"/>
      <c r="X283"/>
      <c r="Y283"/>
      <c r="Z283"/>
      <c r="AA283"/>
      <c r="AB283"/>
      <c r="AC283"/>
    </row>
    <row r="284" spans="1:29" x14ac:dyDescent="0.25">
      <c r="A284"/>
      <c r="B284"/>
      <c r="C284" s="92"/>
      <c r="L284" s="92"/>
      <c r="M284" s="92"/>
      <c r="Q284" s="115"/>
      <c r="R284" s="92"/>
      <c r="S284"/>
      <c r="T284"/>
      <c r="U284"/>
      <c r="V284"/>
      <c r="W284"/>
      <c r="X284"/>
      <c r="Y284"/>
      <c r="Z284"/>
      <c r="AA284"/>
      <c r="AB284"/>
      <c r="AC284"/>
    </row>
    <row r="285" spans="1:29" x14ac:dyDescent="0.25">
      <c r="A285"/>
      <c r="B285"/>
      <c r="C285" s="92"/>
      <c r="L285" s="92"/>
      <c r="M285" s="92"/>
      <c r="Q285" s="115"/>
      <c r="R285" s="92"/>
      <c r="S285"/>
      <c r="T285"/>
      <c r="U285"/>
      <c r="V285"/>
      <c r="W285"/>
      <c r="X285"/>
      <c r="Y285"/>
      <c r="Z285"/>
      <c r="AA285"/>
      <c r="AB285"/>
      <c r="AC285"/>
    </row>
    <row r="286" spans="1:29" x14ac:dyDescent="0.25">
      <c r="A286"/>
      <c r="B286"/>
      <c r="C286" s="92"/>
      <c r="L286" s="92"/>
      <c r="M286" s="92"/>
      <c r="Q286" s="115"/>
      <c r="R286" s="92"/>
      <c r="S286"/>
      <c r="T286"/>
      <c r="U286"/>
      <c r="V286"/>
      <c r="W286"/>
      <c r="X286"/>
      <c r="Y286"/>
      <c r="Z286"/>
      <c r="AA286"/>
      <c r="AB286"/>
      <c r="AC286"/>
    </row>
    <row r="287" spans="1:29" x14ac:dyDescent="0.25">
      <c r="A287"/>
      <c r="B287"/>
      <c r="C287" s="92"/>
      <c r="L287" s="92"/>
      <c r="M287" s="92"/>
      <c r="Q287" s="115"/>
      <c r="R287" s="92"/>
      <c r="S287"/>
      <c r="T287"/>
      <c r="U287"/>
      <c r="V287"/>
      <c r="W287"/>
      <c r="X287"/>
      <c r="Y287"/>
      <c r="Z287"/>
      <c r="AA287"/>
      <c r="AB287"/>
      <c r="AC287"/>
    </row>
    <row r="288" spans="1:29" x14ac:dyDescent="0.25">
      <c r="A288"/>
      <c r="B288"/>
      <c r="C288" s="92"/>
      <c r="L288" s="92"/>
      <c r="M288" s="92"/>
      <c r="Q288" s="115"/>
      <c r="R288" s="92"/>
      <c r="S288"/>
      <c r="T288"/>
      <c r="U288"/>
      <c r="V288"/>
      <c r="W288"/>
      <c r="X288"/>
      <c r="Y288"/>
      <c r="Z288"/>
      <c r="AA288"/>
      <c r="AB288"/>
      <c r="AC288"/>
    </row>
    <row r="289" spans="1:29" x14ac:dyDescent="0.25">
      <c r="A289"/>
      <c r="B289"/>
      <c r="C289" s="92"/>
      <c r="L289" s="92"/>
      <c r="M289" s="92"/>
      <c r="Q289" s="115"/>
      <c r="R289" s="92"/>
      <c r="S289"/>
      <c r="T289"/>
      <c r="U289"/>
      <c r="V289"/>
      <c r="W289"/>
      <c r="X289"/>
      <c r="Y289"/>
      <c r="Z289"/>
      <c r="AA289"/>
      <c r="AB289"/>
      <c r="AC289"/>
    </row>
    <row r="290" spans="1:29" x14ac:dyDescent="0.25">
      <c r="A290"/>
      <c r="B290"/>
      <c r="C290" s="92"/>
      <c r="L290" s="92"/>
      <c r="M290" s="92"/>
      <c r="Q290" s="115"/>
      <c r="R290" s="92"/>
      <c r="S290"/>
      <c r="T290"/>
      <c r="U290"/>
      <c r="V290"/>
      <c r="W290"/>
      <c r="X290"/>
      <c r="Y290"/>
      <c r="Z290"/>
      <c r="AA290"/>
      <c r="AB290"/>
      <c r="AC290"/>
    </row>
    <row r="291" spans="1:29" x14ac:dyDescent="0.25">
      <c r="A291"/>
      <c r="B291"/>
      <c r="C291" s="92"/>
      <c r="L291" s="92"/>
      <c r="M291" s="92"/>
      <c r="Q291" s="115"/>
      <c r="R291" s="92"/>
      <c r="S291"/>
      <c r="T291"/>
      <c r="U291"/>
      <c r="V291"/>
      <c r="W291"/>
      <c r="X291"/>
      <c r="Y291"/>
      <c r="Z291"/>
      <c r="AA291"/>
      <c r="AB291"/>
      <c r="AC291"/>
    </row>
    <row r="292" spans="1:29" x14ac:dyDescent="0.25">
      <c r="A292"/>
      <c r="B292"/>
      <c r="C292" s="92"/>
      <c r="L292" s="92"/>
      <c r="M292" s="92"/>
      <c r="Q292" s="115"/>
      <c r="R292" s="92"/>
      <c r="S292"/>
      <c r="T292"/>
      <c r="U292"/>
      <c r="V292"/>
      <c r="W292"/>
      <c r="X292"/>
      <c r="Y292"/>
      <c r="Z292"/>
      <c r="AA292"/>
      <c r="AB292"/>
      <c r="AC292"/>
    </row>
    <row r="293" spans="1:29" x14ac:dyDescent="0.25">
      <c r="A293"/>
      <c r="B293"/>
      <c r="C293" s="92"/>
      <c r="L293" s="92"/>
      <c r="M293" s="92"/>
      <c r="Q293" s="115"/>
      <c r="R293" s="92"/>
      <c r="S293"/>
      <c r="T293"/>
      <c r="U293"/>
      <c r="V293"/>
      <c r="W293"/>
      <c r="X293"/>
      <c r="Y293"/>
      <c r="Z293"/>
      <c r="AA293"/>
      <c r="AB293"/>
      <c r="AC293"/>
    </row>
    <row r="294" spans="1:29" x14ac:dyDescent="0.25">
      <c r="A294"/>
      <c r="B294"/>
      <c r="C294" s="92"/>
      <c r="L294" s="92"/>
      <c r="M294" s="92"/>
      <c r="Q294" s="115"/>
      <c r="R294" s="92"/>
      <c r="S294"/>
      <c r="T294"/>
      <c r="U294"/>
      <c r="V294"/>
      <c r="W294"/>
      <c r="X294"/>
      <c r="Y294"/>
      <c r="Z294"/>
      <c r="AA294"/>
      <c r="AB294"/>
      <c r="AC294"/>
    </row>
    <row r="295" spans="1:29" x14ac:dyDescent="0.25">
      <c r="A295"/>
      <c r="B295"/>
      <c r="C295" s="92"/>
      <c r="L295" s="92"/>
      <c r="M295" s="92"/>
      <c r="Q295" s="115"/>
      <c r="R295" s="92"/>
      <c r="S295"/>
      <c r="T295"/>
      <c r="U295"/>
      <c r="V295"/>
      <c r="W295"/>
      <c r="X295"/>
      <c r="Y295"/>
      <c r="Z295"/>
      <c r="AA295"/>
      <c r="AB295"/>
      <c r="AC295"/>
    </row>
    <row r="296" spans="1:29" x14ac:dyDescent="0.25">
      <c r="A296"/>
      <c r="B296"/>
      <c r="C296" s="92"/>
      <c r="L296" s="92"/>
      <c r="M296" s="92"/>
      <c r="Q296" s="115"/>
      <c r="R296" s="92"/>
      <c r="S296"/>
      <c r="T296"/>
      <c r="U296"/>
      <c r="V296"/>
      <c r="W296"/>
      <c r="X296"/>
      <c r="Y296"/>
      <c r="Z296"/>
      <c r="AA296"/>
      <c r="AB296"/>
      <c r="AC296"/>
    </row>
    <row r="297" spans="1:29" x14ac:dyDescent="0.25">
      <c r="A297"/>
      <c r="B297"/>
      <c r="C297" s="92"/>
      <c r="L297" s="92"/>
      <c r="M297" s="92"/>
      <c r="Q297" s="115"/>
      <c r="R297" s="92"/>
      <c r="S297"/>
      <c r="T297"/>
      <c r="U297"/>
      <c r="V297"/>
      <c r="W297"/>
      <c r="X297"/>
      <c r="Y297"/>
      <c r="Z297"/>
      <c r="AA297"/>
      <c r="AB297"/>
      <c r="AC297"/>
    </row>
    <row r="298" spans="1:29" x14ac:dyDescent="0.25">
      <c r="A298"/>
      <c r="B298"/>
      <c r="C298" s="92"/>
      <c r="L298" s="92"/>
      <c r="M298" s="92"/>
      <c r="Q298" s="115"/>
      <c r="R298" s="92"/>
      <c r="S298"/>
      <c r="T298"/>
      <c r="U298"/>
      <c r="V298"/>
      <c r="W298"/>
      <c r="X298"/>
      <c r="Y298"/>
      <c r="Z298"/>
      <c r="AA298"/>
      <c r="AB298"/>
      <c r="AC298"/>
    </row>
    <row r="299" spans="1:29" x14ac:dyDescent="0.25">
      <c r="A299"/>
      <c r="B299"/>
      <c r="C299" s="92"/>
      <c r="L299" s="92"/>
      <c r="M299" s="92"/>
      <c r="Q299" s="115"/>
      <c r="R299" s="92"/>
      <c r="S299"/>
      <c r="T299"/>
      <c r="U299"/>
      <c r="V299"/>
      <c r="W299"/>
      <c r="X299"/>
      <c r="Y299"/>
      <c r="Z299"/>
      <c r="AA299"/>
      <c r="AB299"/>
      <c r="AC299"/>
    </row>
    <row r="300" spans="1:29" x14ac:dyDescent="0.25">
      <c r="A300"/>
      <c r="B300"/>
      <c r="C300" s="92"/>
      <c r="L300" s="92"/>
      <c r="M300" s="92"/>
      <c r="Q300" s="115"/>
      <c r="R300" s="92"/>
      <c r="S300"/>
      <c r="T300"/>
      <c r="U300"/>
      <c r="V300"/>
      <c r="W300"/>
      <c r="X300"/>
      <c r="Y300"/>
      <c r="Z300"/>
      <c r="AA300"/>
      <c r="AB300"/>
      <c r="AC300"/>
    </row>
    <row r="301" spans="1:29" x14ac:dyDescent="0.25">
      <c r="A301"/>
      <c r="B301"/>
      <c r="C301" s="92"/>
      <c r="L301" s="92"/>
      <c r="M301" s="92"/>
      <c r="Q301" s="115"/>
      <c r="R301" s="92"/>
      <c r="S301"/>
      <c r="T301"/>
      <c r="U301"/>
      <c r="V301"/>
      <c r="W301"/>
      <c r="X301"/>
      <c r="Y301"/>
      <c r="Z301"/>
      <c r="AA301"/>
      <c r="AB301"/>
      <c r="AC301"/>
    </row>
    <row r="302" spans="1:29" x14ac:dyDescent="0.25">
      <c r="A302"/>
      <c r="B302"/>
      <c r="C302" s="92"/>
      <c r="L302" s="92"/>
      <c r="M302" s="92"/>
      <c r="Q302" s="115"/>
      <c r="R302" s="92"/>
      <c r="S302"/>
      <c r="T302"/>
      <c r="U302"/>
      <c r="V302"/>
      <c r="W302"/>
      <c r="X302"/>
      <c r="Y302"/>
      <c r="Z302"/>
      <c r="AA302"/>
      <c r="AB302"/>
      <c r="AC302"/>
    </row>
    <row r="303" spans="1:29" x14ac:dyDescent="0.25">
      <c r="A303"/>
      <c r="B303"/>
      <c r="C303" s="92"/>
      <c r="L303" s="92"/>
      <c r="M303" s="92"/>
      <c r="Q303" s="115"/>
      <c r="R303" s="92"/>
      <c r="S303"/>
      <c r="T303"/>
      <c r="U303"/>
      <c r="V303"/>
      <c r="W303"/>
      <c r="X303"/>
      <c r="Y303"/>
      <c r="Z303"/>
      <c r="AA303"/>
      <c r="AB303"/>
      <c r="AC303"/>
    </row>
    <row r="304" spans="1:29" x14ac:dyDescent="0.25">
      <c r="A304"/>
      <c r="B304"/>
      <c r="C304" s="92"/>
      <c r="L304" s="92"/>
      <c r="M304" s="92"/>
      <c r="Q304" s="115"/>
      <c r="R304" s="92"/>
      <c r="S304"/>
      <c r="T304"/>
      <c r="U304"/>
      <c r="V304"/>
      <c r="W304"/>
      <c r="X304"/>
      <c r="Y304"/>
      <c r="Z304"/>
      <c r="AA304"/>
      <c r="AB304"/>
      <c r="AC304"/>
    </row>
    <row r="305" spans="1:29" x14ac:dyDescent="0.25">
      <c r="A305"/>
      <c r="B305"/>
      <c r="C305" s="92"/>
      <c r="L305" s="92"/>
      <c r="M305" s="92"/>
      <c r="Q305" s="115"/>
      <c r="R305" s="92"/>
      <c r="S305"/>
      <c r="T305"/>
      <c r="U305"/>
      <c r="V305"/>
      <c r="W305"/>
      <c r="X305"/>
      <c r="Y305"/>
      <c r="Z305"/>
      <c r="AA305"/>
      <c r="AB305"/>
      <c r="AC305"/>
    </row>
    <row r="306" spans="1:29" x14ac:dyDescent="0.25">
      <c r="A306"/>
      <c r="B306"/>
      <c r="C306" s="92"/>
      <c r="L306" s="92"/>
      <c r="M306" s="92"/>
      <c r="Q306" s="115"/>
      <c r="R306" s="92"/>
      <c r="S306"/>
      <c r="T306"/>
      <c r="U306"/>
      <c r="V306"/>
      <c r="W306"/>
      <c r="X306"/>
      <c r="Y306"/>
      <c r="Z306"/>
      <c r="AA306"/>
      <c r="AB306"/>
      <c r="AC306"/>
    </row>
    <row r="307" spans="1:29" x14ac:dyDescent="0.25">
      <c r="A307"/>
      <c r="B307"/>
      <c r="C307" s="92"/>
      <c r="L307" s="92"/>
      <c r="M307" s="92"/>
      <c r="Q307" s="115"/>
      <c r="R307" s="92"/>
      <c r="S307"/>
      <c r="T307"/>
      <c r="U307"/>
      <c r="V307"/>
      <c r="W307"/>
      <c r="X307"/>
      <c r="Y307"/>
      <c r="Z307"/>
      <c r="AA307"/>
      <c r="AB307"/>
      <c r="AC307"/>
    </row>
    <row r="308" spans="1:29" x14ac:dyDescent="0.25">
      <c r="A308"/>
      <c r="B308"/>
      <c r="C308" s="92"/>
      <c r="L308" s="92"/>
      <c r="M308" s="92"/>
      <c r="Q308" s="115"/>
      <c r="R308" s="92"/>
      <c r="S308"/>
      <c r="T308"/>
      <c r="U308"/>
      <c r="V308"/>
      <c r="W308"/>
      <c r="X308"/>
      <c r="Y308"/>
      <c r="Z308"/>
      <c r="AA308"/>
      <c r="AB308"/>
      <c r="AC308"/>
    </row>
    <row r="309" spans="1:29" x14ac:dyDescent="0.25">
      <c r="A309"/>
      <c r="B309"/>
      <c r="C309" s="92"/>
      <c r="L309" s="92"/>
      <c r="M309" s="92"/>
      <c r="Q309" s="115"/>
      <c r="R309" s="92"/>
      <c r="S309"/>
      <c r="T309"/>
      <c r="U309"/>
      <c r="V309"/>
      <c r="W309"/>
      <c r="X309"/>
      <c r="Y309"/>
      <c r="Z309"/>
      <c r="AA309"/>
      <c r="AB309"/>
      <c r="AC309"/>
    </row>
    <row r="310" spans="1:29" x14ac:dyDescent="0.25">
      <c r="A310"/>
      <c r="B310"/>
      <c r="C310" s="92"/>
      <c r="L310" s="92"/>
      <c r="M310" s="92"/>
      <c r="Q310" s="115"/>
      <c r="R310" s="92"/>
      <c r="S310"/>
      <c r="T310"/>
      <c r="U310"/>
      <c r="V310"/>
      <c r="W310"/>
      <c r="X310"/>
      <c r="Y310"/>
      <c r="Z310"/>
      <c r="AA310"/>
      <c r="AB310"/>
      <c r="AC310"/>
    </row>
    <row r="311" spans="1:29" x14ac:dyDescent="0.25">
      <c r="A311"/>
      <c r="B311"/>
      <c r="C311" s="92"/>
      <c r="L311" s="92"/>
      <c r="M311" s="92"/>
      <c r="Q311" s="115"/>
      <c r="R311" s="92"/>
      <c r="S311"/>
      <c r="T311"/>
      <c r="U311"/>
      <c r="V311"/>
      <c r="W311"/>
      <c r="X311"/>
      <c r="Y311"/>
      <c r="Z311"/>
      <c r="AA311"/>
      <c r="AB311"/>
      <c r="AC311"/>
    </row>
    <row r="312" spans="1:29" x14ac:dyDescent="0.25">
      <c r="A312"/>
      <c r="B312"/>
      <c r="C312" s="92"/>
      <c r="L312" s="92"/>
      <c r="M312" s="92"/>
      <c r="Q312" s="115"/>
      <c r="R312" s="92"/>
      <c r="S312"/>
      <c r="T312"/>
      <c r="U312"/>
      <c r="V312"/>
      <c r="W312"/>
      <c r="X312"/>
      <c r="Y312"/>
      <c r="Z312"/>
      <c r="AA312"/>
      <c r="AB312"/>
      <c r="AC312"/>
    </row>
    <row r="313" spans="1:29" x14ac:dyDescent="0.25">
      <c r="A313"/>
      <c r="B313"/>
      <c r="C313" s="92"/>
      <c r="L313" s="92"/>
      <c r="M313" s="92"/>
      <c r="Q313" s="115"/>
      <c r="R313" s="92"/>
      <c r="S313"/>
      <c r="T313"/>
      <c r="U313"/>
      <c r="V313"/>
      <c r="W313"/>
      <c r="X313"/>
      <c r="Y313"/>
      <c r="Z313"/>
      <c r="AA313"/>
      <c r="AB313"/>
      <c r="AC313"/>
    </row>
    <row r="314" spans="1:29" x14ac:dyDescent="0.25">
      <c r="A314"/>
      <c r="B314"/>
      <c r="C314" s="92"/>
      <c r="L314" s="92"/>
      <c r="M314" s="92"/>
      <c r="Q314" s="115"/>
      <c r="R314" s="92"/>
      <c r="S314"/>
      <c r="T314"/>
      <c r="U314"/>
      <c r="V314"/>
      <c r="W314"/>
      <c r="X314"/>
      <c r="Y314"/>
      <c r="Z314"/>
      <c r="AA314"/>
      <c r="AB314"/>
      <c r="AC314"/>
    </row>
    <row r="315" spans="1:29" x14ac:dyDescent="0.25">
      <c r="A315"/>
      <c r="B315"/>
      <c r="C315" s="92"/>
      <c r="L315" s="92"/>
      <c r="M315" s="92"/>
      <c r="Q315" s="115"/>
      <c r="R315" s="92"/>
      <c r="S315"/>
      <c r="T315"/>
      <c r="U315"/>
      <c r="V315"/>
      <c r="W315"/>
      <c r="X315"/>
      <c r="Y315"/>
      <c r="Z315"/>
      <c r="AA315"/>
      <c r="AB315"/>
      <c r="AC315"/>
    </row>
    <row r="316" spans="1:29" x14ac:dyDescent="0.25">
      <c r="A316"/>
      <c r="B316"/>
      <c r="C316" s="92"/>
      <c r="L316" s="92"/>
      <c r="M316" s="92"/>
      <c r="Q316" s="115"/>
      <c r="R316" s="92"/>
      <c r="S316"/>
      <c r="T316"/>
      <c r="U316"/>
      <c r="V316"/>
      <c r="W316"/>
      <c r="X316"/>
      <c r="Y316"/>
      <c r="Z316"/>
      <c r="AA316"/>
      <c r="AB316"/>
      <c r="AC316"/>
    </row>
    <row r="317" spans="1:29" x14ac:dyDescent="0.25">
      <c r="A317"/>
      <c r="B317"/>
      <c r="C317" s="92"/>
      <c r="L317" s="92"/>
      <c r="M317" s="92"/>
      <c r="Q317" s="115"/>
      <c r="R317" s="92"/>
      <c r="S317"/>
      <c r="T317"/>
      <c r="U317"/>
      <c r="V317"/>
      <c r="W317"/>
      <c r="X317"/>
      <c r="Y317"/>
      <c r="Z317"/>
      <c r="AA317"/>
      <c r="AB317"/>
      <c r="AC317"/>
    </row>
    <row r="318" spans="1:29" x14ac:dyDescent="0.25">
      <c r="A318"/>
      <c r="B318"/>
      <c r="C318" s="92"/>
      <c r="L318" s="92"/>
      <c r="M318" s="92"/>
      <c r="Q318" s="115"/>
      <c r="R318" s="92"/>
      <c r="S318"/>
      <c r="T318"/>
      <c r="U318"/>
      <c r="V318"/>
      <c r="W318"/>
      <c r="X318"/>
      <c r="Y318"/>
      <c r="Z318"/>
      <c r="AA318"/>
      <c r="AB318"/>
      <c r="AC318"/>
    </row>
    <row r="319" spans="1:29" x14ac:dyDescent="0.25">
      <c r="A319"/>
      <c r="B319"/>
      <c r="C319" s="92"/>
      <c r="L319" s="92"/>
      <c r="M319" s="92"/>
      <c r="Q319" s="115"/>
      <c r="R319" s="92"/>
      <c r="S319"/>
      <c r="T319"/>
      <c r="U319"/>
      <c r="V319"/>
      <c r="W319"/>
      <c r="X319"/>
      <c r="Y319"/>
      <c r="Z319"/>
      <c r="AA319"/>
      <c r="AB319"/>
      <c r="AC319"/>
    </row>
    <row r="320" spans="1:29" x14ac:dyDescent="0.25">
      <c r="A320"/>
      <c r="B320"/>
      <c r="C320" s="92"/>
      <c r="L320" s="92"/>
      <c r="M320" s="92"/>
      <c r="Q320" s="115"/>
      <c r="R320" s="92"/>
      <c r="S320"/>
      <c r="T320"/>
      <c r="U320"/>
      <c r="V320"/>
      <c r="W320"/>
      <c r="X320"/>
      <c r="Y320"/>
      <c r="Z320"/>
      <c r="AA320"/>
      <c r="AB320"/>
      <c r="AC320"/>
    </row>
    <row r="321" spans="1:29" x14ac:dyDescent="0.25">
      <c r="A321"/>
      <c r="B321"/>
      <c r="C321" s="92"/>
      <c r="L321" s="92"/>
      <c r="M321" s="92"/>
      <c r="Q321" s="115"/>
      <c r="R321" s="92"/>
      <c r="S321"/>
      <c r="T321"/>
      <c r="U321"/>
      <c r="V321"/>
      <c r="W321"/>
      <c r="X321"/>
      <c r="Y321"/>
      <c r="Z321"/>
      <c r="AA321"/>
      <c r="AB321"/>
      <c r="AC321"/>
    </row>
    <row r="322" spans="1:29" x14ac:dyDescent="0.25">
      <c r="A322"/>
      <c r="B322"/>
      <c r="C322" s="92"/>
      <c r="L322" s="92"/>
      <c r="M322" s="92"/>
      <c r="Q322" s="115"/>
      <c r="R322" s="92"/>
      <c r="S322"/>
      <c r="T322"/>
      <c r="U322"/>
      <c r="V322"/>
      <c r="W322"/>
      <c r="X322"/>
      <c r="Y322"/>
      <c r="Z322"/>
      <c r="AA322"/>
      <c r="AB322"/>
      <c r="AC322"/>
    </row>
    <row r="323" spans="1:29" x14ac:dyDescent="0.25">
      <c r="A323"/>
      <c r="B323"/>
      <c r="C323" s="92"/>
      <c r="L323" s="92"/>
      <c r="M323" s="92"/>
      <c r="Q323" s="115"/>
      <c r="R323" s="92"/>
      <c r="S323"/>
      <c r="T323"/>
      <c r="U323"/>
      <c r="V323"/>
      <c r="W323"/>
      <c r="X323"/>
      <c r="Y323"/>
      <c r="Z323"/>
      <c r="AA323"/>
      <c r="AB323"/>
      <c r="AC323"/>
    </row>
    <row r="324" spans="1:29" x14ac:dyDescent="0.25">
      <c r="A324"/>
      <c r="B324"/>
      <c r="C324" s="92"/>
      <c r="L324" s="92"/>
      <c r="M324" s="92"/>
      <c r="Q324" s="115"/>
      <c r="R324" s="92"/>
      <c r="S324"/>
      <c r="T324"/>
      <c r="U324"/>
      <c r="V324"/>
      <c r="W324"/>
      <c r="X324"/>
      <c r="Y324"/>
      <c r="Z324"/>
      <c r="AA324"/>
      <c r="AB324"/>
      <c r="AC324"/>
    </row>
    <row r="325" spans="1:29" x14ac:dyDescent="0.25">
      <c r="A325"/>
      <c r="B325"/>
      <c r="C325" s="92"/>
      <c r="L325" s="92"/>
      <c r="M325" s="92"/>
      <c r="Q325" s="115"/>
      <c r="R325" s="92"/>
      <c r="S325"/>
      <c r="T325"/>
      <c r="U325"/>
      <c r="V325"/>
      <c r="W325"/>
      <c r="X325"/>
      <c r="Y325"/>
      <c r="Z325"/>
      <c r="AA325"/>
      <c r="AB325"/>
      <c r="AC325"/>
    </row>
    <row r="326" spans="1:29" x14ac:dyDescent="0.25">
      <c r="A326"/>
      <c r="B326"/>
      <c r="C326" s="92"/>
      <c r="L326" s="92"/>
      <c r="M326" s="92"/>
      <c r="Q326" s="115"/>
      <c r="R326" s="92"/>
      <c r="S326"/>
      <c r="T326"/>
      <c r="U326"/>
      <c r="V326"/>
      <c r="W326"/>
      <c r="X326"/>
      <c r="Y326"/>
      <c r="Z326"/>
      <c r="AA326"/>
      <c r="AB326"/>
      <c r="AC326"/>
    </row>
    <row r="327" spans="1:29" x14ac:dyDescent="0.25">
      <c r="A327"/>
      <c r="B327"/>
      <c r="C327" s="92"/>
      <c r="L327" s="92"/>
      <c r="M327" s="92"/>
      <c r="Q327" s="115"/>
      <c r="R327" s="92"/>
      <c r="S327"/>
      <c r="T327"/>
      <c r="U327"/>
      <c r="V327"/>
      <c r="W327"/>
      <c r="X327"/>
      <c r="Y327"/>
      <c r="Z327"/>
      <c r="AA327"/>
      <c r="AB327"/>
      <c r="AC327"/>
    </row>
    <row r="328" spans="1:29" x14ac:dyDescent="0.25">
      <c r="A328"/>
      <c r="B328"/>
      <c r="C328" s="92"/>
      <c r="L328" s="92"/>
      <c r="M328" s="92"/>
      <c r="Q328" s="115"/>
      <c r="R328" s="92"/>
      <c r="S328"/>
      <c r="T328"/>
      <c r="U328"/>
      <c r="V328"/>
      <c r="W328"/>
      <c r="X328"/>
      <c r="Y328"/>
      <c r="Z328"/>
      <c r="AA328"/>
      <c r="AB328"/>
      <c r="AC328"/>
    </row>
    <row r="329" spans="1:29" x14ac:dyDescent="0.25">
      <c r="A329"/>
      <c r="B329"/>
      <c r="C329" s="92"/>
      <c r="L329" s="92"/>
      <c r="M329" s="92"/>
      <c r="Q329" s="115"/>
      <c r="R329" s="92"/>
      <c r="S329"/>
      <c r="T329"/>
      <c r="U329"/>
      <c r="V329"/>
      <c r="W329"/>
      <c r="X329"/>
      <c r="Y329"/>
      <c r="Z329"/>
      <c r="AA329"/>
      <c r="AB329"/>
      <c r="AC329"/>
    </row>
    <row r="330" spans="1:29" x14ac:dyDescent="0.25">
      <c r="A330"/>
      <c r="B330"/>
      <c r="C330" s="92"/>
      <c r="L330" s="92"/>
      <c r="M330" s="92"/>
      <c r="Q330" s="115"/>
      <c r="R330" s="92"/>
      <c r="S330"/>
      <c r="T330"/>
      <c r="U330"/>
      <c r="V330"/>
      <c r="W330"/>
      <c r="X330"/>
      <c r="Y330"/>
      <c r="Z330"/>
      <c r="AA330"/>
      <c r="AB330"/>
      <c r="AC330"/>
    </row>
    <row r="331" spans="1:29" x14ac:dyDescent="0.25">
      <c r="A331"/>
      <c r="B331"/>
      <c r="C331" s="92"/>
      <c r="L331" s="92"/>
      <c r="M331" s="92"/>
      <c r="Q331" s="115"/>
      <c r="R331" s="92"/>
      <c r="S331"/>
      <c r="T331"/>
      <c r="U331"/>
      <c r="V331"/>
      <c r="W331"/>
      <c r="X331"/>
      <c r="Y331"/>
      <c r="Z331"/>
      <c r="AA331"/>
      <c r="AB331"/>
      <c r="AC331"/>
    </row>
    <row r="332" spans="1:29" x14ac:dyDescent="0.25">
      <c r="A332"/>
      <c r="B332"/>
      <c r="C332" s="92"/>
      <c r="L332" s="92"/>
      <c r="M332" s="92"/>
      <c r="Q332" s="115"/>
      <c r="R332" s="92"/>
      <c r="S332"/>
      <c r="T332"/>
      <c r="U332"/>
      <c r="V332"/>
      <c r="W332"/>
      <c r="X332"/>
      <c r="Y332"/>
      <c r="Z332"/>
      <c r="AA332"/>
      <c r="AB332"/>
      <c r="AC332"/>
    </row>
    <row r="333" spans="1:29" x14ac:dyDescent="0.25">
      <c r="A333"/>
      <c r="B333"/>
      <c r="C333" s="92"/>
      <c r="L333" s="92"/>
      <c r="M333" s="92"/>
      <c r="Q333" s="115"/>
      <c r="R333" s="92"/>
      <c r="S333"/>
      <c r="T333"/>
      <c r="U333"/>
      <c r="V333"/>
      <c r="W333"/>
      <c r="X333"/>
      <c r="Y333"/>
      <c r="Z333"/>
      <c r="AA333"/>
      <c r="AB333"/>
      <c r="AC333"/>
    </row>
    <row r="334" spans="1:29" x14ac:dyDescent="0.25">
      <c r="A334"/>
      <c r="B334"/>
      <c r="C334" s="92"/>
      <c r="L334" s="92"/>
      <c r="M334" s="92"/>
      <c r="Q334" s="115"/>
      <c r="R334" s="92"/>
      <c r="S334"/>
      <c r="T334"/>
      <c r="U334"/>
      <c r="V334"/>
      <c r="W334"/>
      <c r="X334"/>
      <c r="Y334"/>
      <c r="Z334"/>
      <c r="AA334"/>
      <c r="AB334"/>
      <c r="AC334"/>
    </row>
    <row r="335" spans="1:29" x14ac:dyDescent="0.25">
      <c r="A335"/>
      <c r="B335"/>
      <c r="C335" s="92"/>
      <c r="L335" s="92"/>
      <c r="M335" s="92"/>
      <c r="Q335" s="115"/>
      <c r="R335" s="92"/>
      <c r="S335"/>
      <c r="T335"/>
      <c r="U335"/>
      <c r="V335"/>
      <c r="W335"/>
      <c r="X335"/>
      <c r="Y335"/>
      <c r="Z335"/>
      <c r="AA335"/>
      <c r="AB335"/>
      <c r="AC335"/>
    </row>
    <row r="336" spans="1:29" x14ac:dyDescent="0.25">
      <c r="A336"/>
      <c r="B336"/>
      <c r="C336" s="92"/>
      <c r="L336" s="92"/>
      <c r="M336" s="92"/>
      <c r="Q336" s="115"/>
      <c r="R336" s="92"/>
      <c r="S336"/>
      <c r="T336"/>
      <c r="U336"/>
      <c r="V336"/>
      <c r="W336"/>
      <c r="X336"/>
      <c r="Y336"/>
      <c r="Z336"/>
      <c r="AA336"/>
      <c r="AB336"/>
      <c r="AC336"/>
    </row>
    <row r="337" spans="1:29" x14ac:dyDescent="0.25">
      <c r="A337"/>
      <c r="B337"/>
      <c r="C337" s="92"/>
      <c r="L337" s="92"/>
      <c r="M337" s="92"/>
      <c r="Q337" s="115"/>
      <c r="R337" s="92"/>
      <c r="S337"/>
      <c r="T337"/>
      <c r="U337"/>
      <c r="V337"/>
      <c r="W337"/>
      <c r="X337"/>
      <c r="Y337"/>
      <c r="Z337"/>
      <c r="AA337"/>
      <c r="AB337"/>
      <c r="AC337"/>
    </row>
    <row r="338" spans="1:29" x14ac:dyDescent="0.25">
      <c r="A338"/>
      <c r="B338"/>
      <c r="C338" s="92"/>
      <c r="L338" s="92"/>
      <c r="M338" s="92"/>
      <c r="Q338" s="115"/>
      <c r="R338" s="92"/>
      <c r="S338"/>
      <c r="T338"/>
      <c r="U338"/>
      <c r="V338"/>
      <c r="W338"/>
      <c r="X338"/>
      <c r="Y338"/>
      <c r="Z338"/>
      <c r="AA338"/>
      <c r="AB338"/>
      <c r="AC338"/>
    </row>
    <row r="339" spans="1:29" x14ac:dyDescent="0.25">
      <c r="A339"/>
      <c r="B339"/>
      <c r="C339" s="92"/>
      <c r="L339" s="92"/>
      <c r="M339" s="92"/>
      <c r="Q339" s="115"/>
      <c r="R339" s="92"/>
      <c r="S339"/>
      <c r="T339"/>
      <c r="U339"/>
      <c r="V339"/>
      <c r="W339"/>
      <c r="X339"/>
      <c r="Y339"/>
      <c r="Z339"/>
      <c r="AA339"/>
      <c r="AB339"/>
      <c r="AC339"/>
    </row>
    <row r="340" spans="1:29" x14ac:dyDescent="0.25">
      <c r="A340"/>
      <c r="B340"/>
      <c r="C340" s="92"/>
      <c r="L340" s="92"/>
      <c r="M340" s="92"/>
      <c r="Q340" s="115"/>
      <c r="R340" s="92"/>
      <c r="S340"/>
      <c r="T340"/>
      <c r="U340"/>
      <c r="V340"/>
      <c r="W340"/>
      <c r="X340"/>
      <c r="Y340"/>
      <c r="Z340"/>
      <c r="AA340"/>
      <c r="AB340"/>
      <c r="AC340"/>
    </row>
    <row r="341" spans="1:29" x14ac:dyDescent="0.25">
      <c r="A341"/>
      <c r="B341"/>
      <c r="C341" s="92"/>
      <c r="L341" s="92"/>
      <c r="M341" s="92"/>
      <c r="Q341" s="115"/>
      <c r="R341" s="92"/>
      <c r="S341"/>
      <c r="T341"/>
      <c r="U341"/>
      <c r="V341"/>
      <c r="W341"/>
      <c r="X341"/>
      <c r="Y341"/>
      <c r="Z341"/>
      <c r="AA341"/>
      <c r="AB341"/>
      <c r="AC341"/>
    </row>
    <row r="342" spans="1:29" x14ac:dyDescent="0.25">
      <c r="A342"/>
      <c r="B342"/>
      <c r="C342" s="92"/>
      <c r="L342" s="92"/>
      <c r="M342" s="92"/>
      <c r="Q342" s="115"/>
      <c r="R342" s="92"/>
      <c r="S342"/>
      <c r="T342"/>
      <c r="U342"/>
      <c r="V342"/>
      <c r="W342"/>
      <c r="X342"/>
      <c r="Y342"/>
      <c r="Z342"/>
      <c r="AA342"/>
      <c r="AB342"/>
      <c r="AC342"/>
    </row>
    <row r="343" spans="1:29" x14ac:dyDescent="0.25">
      <c r="A343"/>
      <c r="B343"/>
      <c r="C343" s="92"/>
      <c r="L343" s="92"/>
      <c r="M343" s="92"/>
      <c r="Q343" s="115"/>
      <c r="R343" s="92"/>
      <c r="S343"/>
      <c r="T343"/>
      <c r="U343"/>
      <c r="V343"/>
      <c r="W343"/>
      <c r="X343"/>
      <c r="Y343"/>
      <c r="Z343"/>
      <c r="AA343"/>
      <c r="AB343"/>
      <c r="AC343"/>
    </row>
    <row r="344" spans="1:29" x14ac:dyDescent="0.25">
      <c r="A344"/>
      <c r="B344"/>
      <c r="C344" s="92"/>
      <c r="L344" s="92"/>
      <c r="M344" s="92"/>
      <c r="Q344" s="115"/>
      <c r="R344" s="92"/>
      <c r="S344"/>
      <c r="T344"/>
      <c r="U344"/>
      <c r="V344"/>
      <c r="W344"/>
      <c r="X344"/>
      <c r="Y344"/>
      <c r="Z344"/>
      <c r="AA344"/>
      <c r="AB344"/>
      <c r="AC344"/>
    </row>
    <row r="345" spans="1:29" x14ac:dyDescent="0.25">
      <c r="A345"/>
      <c r="B345"/>
      <c r="C345" s="92"/>
      <c r="L345" s="92"/>
      <c r="M345" s="92"/>
      <c r="Q345" s="115"/>
      <c r="R345" s="92"/>
      <c r="S345"/>
      <c r="T345"/>
      <c r="U345"/>
      <c r="V345"/>
      <c r="W345"/>
      <c r="X345"/>
      <c r="Y345"/>
      <c r="Z345"/>
      <c r="AA345"/>
      <c r="AB345"/>
      <c r="AC345"/>
    </row>
    <row r="346" spans="1:29" x14ac:dyDescent="0.25">
      <c r="A346"/>
      <c r="B346"/>
      <c r="C346" s="92"/>
      <c r="L346" s="92"/>
      <c r="M346" s="92"/>
      <c r="Q346" s="115"/>
      <c r="R346" s="92"/>
      <c r="S346"/>
      <c r="T346"/>
      <c r="U346"/>
      <c r="V346"/>
      <c r="W346"/>
      <c r="X346"/>
      <c r="Y346"/>
      <c r="Z346"/>
      <c r="AA346"/>
      <c r="AB346"/>
      <c r="AC346"/>
    </row>
    <row r="347" spans="1:29" x14ac:dyDescent="0.25">
      <c r="A347"/>
      <c r="B347"/>
      <c r="C347" s="92"/>
      <c r="L347" s="92"/>
      <c r="M347" s="92"/>
      <c r="Q347" s="115"/>
      <c r="R347" s="92"/>
      <c r="S347"/>
      <c r="T347"/>
      <c r="U347"/>
      <c r="V347"/>
      <c r="W347"/>
      <c r="X347"/>
      <c r="Y347"/>
      <c r="Z347"/>
      <c r="AA347"/>
      <c r="AB347"/>
      <c r="AC347"/>
    </row>
    <row r="348" spans="1:29" x14ac:dyDescent="0.25">
      <c r="A348"/>
      <c r="B348"/>
      <c r="C348" s="92"/>
      <c r="L348" s="92"/>
      <c r="M348" s="92"/>
      <c r="Q348" s="115"/>
      <c r="R348" s="92"/>
      <c r="S348"/>
      <c r="T348"/>
      <c r="U348"/>
      <c r="V348"/>
      <c r="W348"/>
      <c r="X348"/>
      <c r="Y348"/>
      <c r="Z348"/>
      <c r="AA348"/>
      <c r="AB348"/>
      <c r="AC348"/>
    </row>
    <row r="349" spans="1:29" x14ac:dyDescent="0.25">
      <c r="A349"/>
      <c r="B349"/>
      <c r="C349" s="92"/>
      <c r="L349" s="92"/>
      <c r="M349" s="92"/>
      <c r="Q349" s="115"/>
      <c r="R349" s="92"/>
      <c r="S349"/>
      <c r="T349"/>
      <c r="U349"/>
      <c r="V349"/>
      <c r="W349"/>
      <c r="X349"/>
      <c r="Y349"/>
      <c r="Z349"/>
      <c r="AA349"/>
      <c r="AB349"/>
      <c r="AC349"/>
    </row>
    <row r="350" spans="1:29" x14ac:dyDescent="0.25">
      <c r="A350"/>
      <c r="B350"/>
      <c r="C350" s="92"/>
      <c r="L350" s="92"/>
      <c r="M350" s="92"/>
      <c r="Q350" s="115"/>
      <c r="R350" s="92"/>
      <c r="S350"/>
      <c r="T350"/>
      <c r="U350"/>
      <c r="V350"/>
      <c r="W350"/>
      <c r="X350"/>
      <c r="Y350"/>
      <c r="Z350"/>
      <c r="AA350"/>
      <c r="AB350"/>
      <c r="AC350"/>
    </row>
    <row r="351" spans="1:29" x14ac:dyDescent="0.25">
      <c r="A351"/>
      <c r="B351"/>
      <c r="C351" s="92"/>
      <c r="L351" s="92"/>
      <c r="M351" s="92"/>
      <c r="Q351" s="115"/>
      <c r="R351" s="92"/>
      <c r="S351"/>
      <c r="T351"/>
      <c r="U351"/>
      <c r="V351"/>
      <c r="W351"/>
      <c r="X351"/>
      <c r="Y351"/>
      <c r="Z351"/>
      <c r="AA351"/>
      <c r="AB351"/>
      <c r="AC351"/>
    </row>
    <row r="352" spans="1:29" x14ac:dyDescent="0.25">
      <c r="A352"/>
      <c r="B352"/>
      <c r="C352" s="92"/>
      <c r="L352" s="92"/>
      <c r="M352" s="92"/>
      <c r="Q352" s="115"/>
      <c r="R352" s="92"/>
      <c r="S352"/>
      <c r="T352"/>
      <c r="U352"/>
      <c r="V352"/>
      <c r="W352"/>
      <c r="X352"/>
      <c r="Y352"/>
      <c r="Z352"/>
      <c r="AA352"/>
      <c r="AB352"/>
      <c r="AC352"/>
    </row>
    <row r="353" spans="1:29" x14ac:dyDescent="0.25">
      <c r="A353"/>
      <c r="B353"/>
      <c r="C353" s="92"/>
      <c r="L353" s="92"/>
      <c r="M353" s="92"/>
      <c r="Q353" s="115"/>
      <c r="R353" s="92"/>
      <c r="S353"/>
      <c r="T353"/>
      <c r="U353"/>
      <c r="V353"/>
      <c r="W353"/>
      <c r="X353"/>
      <c r="Y353"/>
      <c r="Z353"/>
      <c r="AA353"/>
      <c r="AB353"/>
      <c r="AC353"/>
    </row>
    <row r="354" spans="1:29" x14ac:dyDescent="0.25">
      <c r="A354"/>
      <c r="B354"/>
      <c r="C354" s="92"/>
      <c r="L354" s="92"/>
      <c r="M354" s="92"/>
      <c r="Q354" s="115"/>
      <c r="R354" s="92"/>
      <c r="S354"/>
      <c r="T354"/>
      <c r="U354"/>
      <c r="V354"/>
      <c r="W354"/>
      <c r="X354"/>
      <c r="Y354"/>
      <c r="Z354"/>
      <c r="AA354"/>
      <c r="AB354"/>
      <c r="AC354"/>
    </row>
    <row r="355" spans="1:29" x14ac:dyDescent="0.25">
      <c r="A355"/>
      <c r="B355"/>
      <c r="C355" s="92"/>
      <c r="L355" s="92"/>
      <c r="M355" s="92"/>
      <c r="Q355" s="115"/>
      <c r="R355" s="92"/>
      <c r="S355"/>
      <c r="T355"/>
      <c r="U355"/>
      <c r="V355"/>
      <c r="W355"/>
      <c r="X355"/>
      <c r="Y355"/>
      <c r="Z355"/>
      <c r="AA355"/>
      <c r="AB355"/>
      <c r="AC355"/>
    </row>
    <row r="356" spans="1:29" x14ac:dyDescent="0.25">
      <c r="A356"/>
      <c r="B356"/>
      <c r="C356" s="92"/>
      <c r="L356" s="92"/>
      <c r="M356" s="92"/>
      <c r="Q356" s="115"/>
      <c r="R356" s="92"/>
      <c r="S356"/>
      <c r="T356"/>
      <c r="U356"/>
      <c r="V356"/>
      <c r="W356"/>
      <c r="X356"/>
      <c r="Y356"/>
      <c r="Z356"/>
      <c r="AA356"/>
      <c r="AB356"/>
      <c r="AC356"/>
    </row>
    <row r="357" spans="1:29" x14ac:dyDescent="0.25">
      <c r="A357"/>
      <c r="B357"/>
      <c r="C357" s="92"/>
      <c r="L357" s="92"/>
      <c r="M357" s="92"/>
      <c r="Q357" s="115"/>
      <c r="R357" s="92"/>
      <c r="S357"/>
      <c r="T357"/>
      <c r="U357"/>
      <c r="V357"/>
      <c r="W357"/>
      <c r="X357"/>
      <c r="Y357"/>
      <c r="Z357"/>
      <c r="AA357"/>
      <c r="AB357"/>
      <c r="AC357"/>
    </row>
    <row r="358" spans="1:29" x14ac:dyDescent="0.25">
      <c r="A358"/>
      <c r="B358"/>
      <c r="C358" s="92"/>
      <c r="L358" s="92"/>
      <c r="M358" s="92"/>
      <c r="Q358" s="115"/>
      <c r="R358" s="92"/>
      <c r="S358"/>
      <c r="T358"/>
      <c r="U358"/>
      <c r="V358"/>
      <c r="W358"/>
      <c r="X358"/>
      <c r="Y358"/>
      <c r="Z358"/>
      <c r="AA358"/>
      <c r="AB358"/>
      <c r="AC358"/>
    </row>
    <row r="359" spans="1:29" x14ac:dyDescent="0.25">
      <c r="A359"/>
      <c r="B359"/>
      <c r="C359" s="92"/>
      <c r="L359" s="92"/>
      <c r="M359" s="92"/>
      <c r="Q359" s="115"/>
      <c r="R359" s="92"/>
      <c r="S359"/>
      <c r="T359"/>
      <c r="U359"/>
      <c r="V359"/>
      <c r="W359"/>
      <c r="X359"/>
      <c r="Y359"/>
      <c r="Z359"/>
      <c r="AA359"/>
      <c r="AB359"/>
      <c r="AC359"/>
    </row>
    <row r="360" spans="1:29" x14ac:dyDescent="0.25">
      <c r="A360"/>
      <c r="B360"/>
      <c r="C360" s="92"/>
      <c r="L360" s="92"/>
      <c r="M360" s="92"/>
      <c r="Q360" s="115"/>
      <c r="R360" s="92"/>
      <c r="S360"/>
      <c r="T360"/>
      <c r="U360"/>
      <c r="V360"/>
      <c r="W360"/>
      <c r="X360"/>
      <c r="Y360"/>
      <c r="Z360"/>
      <c r="AA360"/>
      <c r="AB360"/>
      <c r="AC360"/>
    </row>
    <row r="361" spans="1:29" x14ac:dyDescent="0.25">
      <c r="A361"/>
      <c r="B361"/>
      <c r="C361" s="92"/>
      <c r="L361" s="92"/>
      <c r="M361" s="92"/>
      <c r="Q361" s="115"/>
      <c r="R361" s="92"/>
      <c r="S361"/>
      <c r="T361"/>
      <c r="U361"/>
      <c r="V361"/>
      <c r="W361"/>
      <c r="X361"/>
      <c r="Y361"/>
      <c r="Z361"/>
      <c r="AA361"/>
      <c r="AB361"/>
      <c r="AC361"/>
    </row>
    <row r="362" spans="1:29" x14ac:dyDescent="0.25">
      <c r="A362"/>
      <c r="B362"/>
      <c r="C362" s="92"/>
      <c r="L362" s="92"/>
      <c r="M362" s="92"/>
      <c r="Q362" s="115"/>
      <c r="R362" s="92"/>
      <c r="S362"/>
      <c r="T362"/>
      <c r="U362"/>
      <c r="V362"/>
      <c r="W362"/>
      <c r="X362"/>
      <c r="Y362"/>
      <c r="Z362"/>
      <c r="AA362"/>
      <c r="AB362"/>
      <c r="AC362"/>
    </row>
    <row r="363" spans="1:29" x14ac:dyDescent="0.25">
      <c r="A363"/>
      <c r="B363"/>
      <c r="C363" s="92"/>
      <c r="L363" s="92"/>
      <c r="M363" s="92"/>
      <c r="Q363" s="115"/>
      <c r="R363" s="92"/>
      <c r="S363"/>
      <c r="T363"/>
      <c r="U363"/>
      <c r="V363"/>
      <c r="W363"/>
      <c r="X363"/>
      <c r="Y363"/>
      <c r="Z363"/>
      <c r="AA363"/>
      <c r="AB363"/>
      <c r="AC363"/>
    </row>
    <row r="364" spans="1:29" x14ac:dyDescent="0.25">
      <c r="A364"/>
      <c r="B364"/>
      <c r="C364" s="92"/>
      <c r="L364" s="92"/>
      <c r="M364" s="92"/>
      <c r="Q364" s="115"/>
      <c r="R364" s="92"/>
      <c r="S364"/>
      <c r="T364"/>
      <c r="U364"/>
      <c r="V364"/>
      <c r="W364"/>
      <c r="X364"/>
      <c r="Y364"/>
      <c r="Z364"/>
      <c r="AA364"/>
      <c r="AB364"/>
      <c r="AC364"/>
    </row>
    <row r="365" spans="1:29" x14ac:dyDescent="0.25">
      <c r="A365"/>
      <c r="B365"/>
      <c r="C365" s="92"/>
      <c r="L365" s="92"/>
      <c r="M365" s="92"/>
      <c r="Q365" s="115"/>
      <c r="R365" s="92"/>
      <c r="S365"/>
      <c r="T365"/>
      <c r="U365"/>
      <c r="V365"/>
      <c r="W365"/>
      <c r="X365"/>
      <c r="Y365"/>
      <c r="Z365"/>
      <c r="AA365"/>
      <c r="AB365"/>
      <c r="AC365"/>
    </row>
    <row r="366" spans="1:29" x14ac:dyDescent="0.25">
      <c r="A366"/>
      <c r="B366"/>
      <c r="C366" s="92"/>
      <c r="L366" s="92"/>
      <c r="M366" s="92"/>
      <c r="Q366" s="115"/>
      <c r="R366" s="92"/>
      <c r="S366"/>
      <c r="T366"/>
      <c r="U366"/>
      <c r="V366"/>
      <c r="W366"/>
      <c r="X366"/>
      <c r="Y366"/>
      <c r="Z366"/>
      <c r="AA366"/>
      <c r="AB366"/>
      <c r="AC366"/>
    </row>
    <row r="367" spans="1:29" x14ac:dyDescent="0.25">
      <c r="A367"/>
      <c r="B367"/>
      <c r="C367" s="92"/>
      <c r="L367" s="92"/>
      <c r="M367" s="92"/>
      <c r="Q367" s="115"/>
      <c r="R367" s="92"/>
      <c r="S367"/>
      <c r="T367"/>
      <c r="U367"/>
      <c r="V367"/>
      <c r="W367"/>
      <c r="X367"/>
      <c r="Y367"/>
      <c r="Z367"/>
      <c r="AA367"/>
      <c r="AB367"/>
      <c r="AC367"/>
    </row>
    <row r="368" spans="1:29" x14ac:dyDescent="0.25">
      <c r="A368"/>
      <c r="B368"/>
      <c r="C368" s="92"/>
      <c r="L368" s="92"/>
      <c r="M368" s="92"/>
      <c r="Q368" s="115"/>
      <c r="R368" s="92"/>
      <c r="S368"/>
      <c r="T368"/>
      <c r="U368"/>
      <c r="V368"/>
      <c r="W368"/>
      <c r="X368"/>
      <c r="Y368"/>
      <c r="Z368"/>
      <c r="AA368"/>
      <c r="AB368"/>
      <c r="AC368"/>
    </row>
    <row r="369" spans="1:29" x14ac:dyDescent="0.25">
      <c r="A369"/>
      <c r="B369"/>
      <c r="C369" s="92"/>
      <c r="L369" s="92"/>
      <c r="M369" s="92"/>
      <c r="Q369" s="115"/>
      <c r="R369" s="92"/>
      <c r="S369"/>
      <c r="T369"/>
      <c r="U369"/>
      <c r="V369"/>
      <c r="W369"/>
      <c r="X369"/>
      <c r="Y369"/>
      <c r="Z369"/>
      <c r="AA369"/>
      <c r="AB369"/>
      <c r="AC369"/>
    </row>
    <row r="370" spans="1:29" x14ac:dyDescent="0.25">
      <c r="A370"/>
      <c r="B370"/>
      <c r="C370" s="92"/>
      <c r="L370" s="92"/>
      <c r="M370" s="92"/>
      <c r="Q370" s="115"/>
      <c r="R370" s="92"/>
      <c r="S370"/>
      <c r="T370"/>
      <c r="U370"/>
      <c r="V370"/>
      <c r="W370"/>
      <c r="X370"/>
      <c r="Y370"/>
      <c r="Z370"/>
      <c r="AA370"/>
      <c r="AB370"/>
      <c r="AC370"/>
    </row>
    <row r="371" spans="1:29" x14ac:dyDescent="0.25">
      <c r="A371"/>
      <c r="B371"/>
      <c r="C371" s="92"/>
      <c r="L371" s="92"/>
      <c r="M371" s="92"/>
      <c r="Q371" s="115"/>
      <c r="R371" s="92"/>
      <c r="S371"/>
      <c r="T371"/>
      <c r="U371"/>
      <c r="V371"/>
      <c r="W371"/>
      <c r="X371"/>
      <c r="Y371"/>
      <c r="Z371"/>
      <c r="AA371"/>
      <c r="AB371"/>
      <c r="AC371"/>
    </row>
    <row r="372" spans="1:29" x14ac:dyDescent="0.25">
      <c r="A372"/>
      <c r="B372"/>
      <c r="C372" s="92"/>
      <c r="L372" s="92"/>
      <c r="M372" s="92"/>
      <c r="Q372" s="115"/>
      <c r="R372" s="92"/>
      <c r="S372"/>
      <c r="T372"/>
      <c r="U372"/>
      <c r="V372"/>
      <c r="W372"/>
      <c r="X372"/>
      <c r="Y372"/>
      <c r="Z372"/>
      <c r="AA372"/>
      <c r="AB372"/>
      <c r="AC372"/>
    </row>
    <row r="373" spans="1:29" x14ac:dyDescent="0.25">
      <c r="A373"/>
      <c r="B373"/>
      <c r="C373" s="92"/>
      <c r="L373" s="92"/>
      <c r="M373" s="92"/>
      <c r="Q373" s="115"/>
      <c r="R373" s="92"/>
      <c r="S373"/>
      <c r="T373"/>
      <c r="U373"/>
      <c r="V373"/>
      <c r="W373"/>
      <c r="X373"/>
      <c r="Y373"/>
      <c r="Z373"/>
      <c r="AA373"/>
      <c r="AB373"/>
      <c r="AC373"/>
    </row>
    <row r="374" spans="1:29" x14ac:dyDescent="0.25">
      <c r="A374"/>
      <c r="B374"/>
      <c r="C374" s="92"/>
      <c r="L374" s="92"/>
      <c r="M374" s="92"/>
      <c r="Q374" s="115"/>
      <c r="R374" s="92"/>
      <c r="S374"/>
      <c r="T374"/>
      <c r="U374"/>
      <c r="V374"/>
      <c r="W374"/>
      <c r="X374"/>
      <c r="Y374"/>
      <c r="Z374"/>
      <c r="AA374"/>
      <c r="AB374"/>
      <c r="AC374"/>
    </row>
    <row r="375" spans="1:29" x14ac:dyDescent="0.25">
      <c r="A375"/>
      <c r="B375"/>
      <c r="C375" s="92"/>
      <c r="L375" s="92"/>
      <c r="M375" s="92"/>
      <c r="Q375" s="115"/>
      <c r="R375" s="92"/>
      <c r="S375"/>
      <c r="T375"/>
      <c r="U375"/>
      <c r="V375"/>
      <c r="W375"/>
      <c r="X375"/>
      <c r="Y375"/>
      <c r="Z375"/>
      <c r="AA375"/>
      <c r="AB375"/>
      <c r="AC375"/>
    </row>
    <row r="376" spans="1:29" x14ac:dyDescent="0.25">
      <c r="A376"/>
      <c r="B376"/>
      <c r="C376" s="92"/>
      <c r="L376" s="92"/>
      <c r="M376" s="92"/>
      <c r="Q376" s="115"/>
      <c r="R376" s="92"/>
      <c r="S376"/>
      <c r="T376"/>
      <c r="U376"/>
      <c r="V376"/>
      <c r="W376"/>
      <c r="X376"/>
      <c r="Y376"/>
      <c r="Z376"/>
      <c r="AA376"/>
      <c r="AB376"/>
      <c r="AC376"/>
    </row>
    <row r="377" spans="1:29" x14ac:dyDescent="0.25">
      <c r="A377"/>
      <c r="B377"/>
      <c r="C377" s="92"/>
      <c r="L377" s="92"/>
      <c r="M377" s="92"/>
      <c r="Q377" s="115"/>
      <c r="R377" s="92"/>
      <c r="S377"/>
      <c r="T377"/>
      <c r="U377"/>
      <c r="V377"/>
      <c r="W377"/>
      <c r="X377"/>
      <c r="Y377"/>
      <c r="Z377"/>
      <c r="AA377"/>
      <c r="AB377"/>
      <c r="AC377"/>
    </row>
    <row r="378" spans="1:29" x14ac:dyDescent="0.25">
      <c r="A378"/>
      <c r="B378"/>
      <c r="C378" s="92"/>
      <c r="L378" s="92"/>
      <c r="M378" s="92"/>
      <c r="Q378" s="115"/>
      <c r="R378" s="92"/>
      <c r="S378"/>
      <c r="T378"/>
      <c r="U378"/>
      <c r="V378"/>
      <c r="W378"/>
      <c r="X378"/>
      <c r="Y378"/>
      <c r="Z378"/>
      <c r="AA378"/>
      <c r="AB378"/>
      <c r="AC378"/>
    </row>
    <row r="379" spans="1:29" x14ac:dyDescent="0.25">
      <c r="A379"/>
      <c r="B379"/>
      <c r="C379" s="92"/>
      <c r="L379" s="92"/>
      <c r="M379" s="92"/>
      <c r="Q379" s="115"/>
      <c r="R379" s="92"/>
      <c r="S379"/>
      <c r="T379"/>
      <c r="U379"/>
      <c r="V379"/>
      <c r="W379"/>
      <c r="X379"/>
      <c r="Y379"/>
      <c r="Z379"/>
      <c r="AA379"/>
      <c r="AB379"/>
      <c r="AC379"/>
    </row>
    <row r="380" spans="1:29" x14ac:dyDescent="0.25">
      <c r="A380"/>
      <c r="B380"/>
      <c r="C380" s="92"/>
      <c r="L380" s="92"/>
      <c r="M380" s="92"/>
      <c r="Q380" s="115"/>
      <c r="R380" s="92"/>
      <c r="S380"/>
      <c r="T380"/>
      <c r="U380"/>
      <c r="V380"/>
      <c r="W380"/>
      <c r="X380"/>
      <c r="Y380"/>
      <c r="Z380"/>
      <c r="AA380"/>
      <c r="AB380"/>
      <c r="AC380"/>
    </row>
    <row r="381" spans="1:29" x14ac:dyDescent="0.25">
      <c r="A381"/>
      <c r="B381"/>
      <c r="C381" s="92"/>
      <c r="L381" s="92"/>
      <c r="M381" s="92"/>
      <c r="Q381" s="115"/>
      <c r="R381" s="92"/>
      <c r="S381"/>
      <c r="T381"/>
      <c r="U381"/>
      <c r="V381"/>
      <c r="W381"/>
      <c r="X381"/>
      <c r="Y381"/>
      <c r="Z381"/>
      <c r="AA381"/>
      <c r="AB381"/>
      <c r="AC381"/>
    </row>
    <row r="382" spans="1:29" x14ac:dyDescent="0.25">
      <c r="A382"/>
      <c r="B382"/>
      <c r="C382" s="92"/>
      <c r="L382" s="92"/>
      <c r="M382" s="92"/>
      <c r="Q382" s="115"/>
      <c r="R382" s="92"/>
      <c r="S382"/>
      <c r="T382"/>
      <c r="U382"/>
      <c r="V382"/>
      <c r="W382"/>
      <c r="X382"/>
      <c r="Y382"/>
      <c r="Z382"/>
      <c r="AA382"/>
      <c r="AB382"/>
      <c r="AC382"/>
    </row>
    <row r="383" spans="1:29" x14ac:dyDescent="0.25">
      <c r="A383"/>
      <c r="B383"/>
      <c r="C383" s="92"/>
      <c r="L383" s="92"/>
      <c r="M383" s="92"/>
      <c r="Q383" s="115"/>
      <c r="R383" s="92"/>
      <c r="S383"/>
      <c r="T383"/>
      <c r="U383"/>
      <c r="V383"/>
      <c r="W383"/>
      <c r="X383"/>
      <c r="Y383"/>
      <c r="Z383"/>
      <c r="AA383"/>
      <c r="AB383"/>
      <c r="AC383"/>
    </row>
    <row r="384" spans="1:29" x14ac:dyDescent="0.25">
      <c r="A384"/>
      <c r="B384"/>
      <c r="C384" s="92"/>
      <c r="L384" s="92"/>
      <c r="M384" s="92"/>
      <c r="Q384" s="115"/>
      <c r="R384" s="92"/>
      <c r="S384"/>
      <c r="T384"/>
      <c r="U384"/>
      <c r="V384"/>
      <c r="W384"/>
      <c r="X384"/>
      <c r="Y384"/>
      <c r="Z384"/>
      <c r="AA384"/>
      <c r="AB384"/>
      <c r="AC384"/>
    </row>
    <row r="385" spans="1:29" x14ac:dyDescent="0.25">
      <c r="A385"/>
      <c r="B385"/>
      <c r="C385" s="92"/>
      <c r="L385" s="92"/>
      <c r="M385" s="92"/>
      <c r="Q385" s="115"/>
      <c r="R385" s="92"/>
      <c r="S385"/>
      <c r="T385"/>
      <c r="U385"/>
      <c r="V385"/>
      <c r="W385"/>
      <c r="X385"/>
      <c r="Y385"/>
      <c r="Z385"/>
      <c r="AA385"/>
      <c r="AB385"/>
      <c r="AC385"/>
    </row>
    <row r="386" spans="1:29" x14ac:dyDescent="0.25">
      <c r="A386"/>
      <c r="B386"/>
      <c r="C386" s="92"/>
      <c r="L386" s="92"/>
      <c r="M386" s="92"/>
      <c r="Q386" s="115"/>
      <c r="R386" s="92"/>
      <c r="S386"/>
      <c r="T386"/>
      <c r="U386"/>
      <c r="V386"/>
      <c r="W386"/>
      <c r="X386"/>
      <c r="Y386"/>
      <c r="Z386"/>
      <c r="AA386"/>
      <c r="AB386"/>
      <c r="AC386"/>
    </row>
    <row r="387" spans="1:29" x14ac:dyDescent="0.25">
      <c r="A387"/>
      <c r="B387"/>
      <c r="C387" s="92"/>
      <c r="L387" s="92"/>
      <c r="M387" s="92"/>
      <c r="Q387" s="115"/>
      <c r="R387" s="92"/>
      <c r="S387"/>
      <c r="T387"/>
      <c r="U387"/>
      <c r="V387"/>
      <c r="W387"/>
      <c r="X387"/>
      <c r="Y387"/>
      <c r="Z387"/>
      <c r="AA387"/>
      <c r="AB387"/>
      <c r="AC387"/>
    </row>
    <row r="388" spans="1:29" x14ac:dyDescent="0.25">
      <c r="A388"/>
      <c r="B388"/>
      <c r="C388" s="92"/>
      <c r="L388" s="92"/>
      <c r="M388" s="92"/>
      <c r="Q388" s="115"/>
      <c r="R388" s="92"/>
      <c r="S388"/>
      <c r="T388"/>
      <c r="U388"/>
      <c r="V388"/>
      <c r="W388"/>
      <c r="X388"/>
      <c r="Y388"/>
      <c r="Z388"/>
      <c r="AA388"/>
      <c r="AB388"/>
      <c r="AC388"/>
    </row>
    <row r="389" spans="1:29" x14ac:dyDescent="0.25">
      <c r="A389"/>
      <c r="B389"/>
      <c r="C389" s="92"/>
      <c r="L389" s="92"/>
      <c r="M389" s="92"/>
      <c r="Q389" s="115"/>
      <c r="R389" s="92"/>
      <c r="S389"/>
      <c r="T389"/>
      <c r="U389"/>
      <c r="V389"/>
      <c r="W389"/>
      <c r="X389"/>
      <c r="Y389"/>
      <c r="Z389"/>
      <c r="AA389"/>
      <c r="AB389"/>
      <c r="AC389"/>
    </row>
    <row r="390" spans="1:29" x14ac:dyDescent="0.25">
      <c r="A390"/>
      <c r="B390"/>
      <c r="C390" s="92"/>
      <c r="L390" s="92"/>
      <c r="M390" s="92"/>
      <c r="Q390" s="115"/>
      <c r="R390" s="92"/>
      <c r="S390"/>
      <c r="T390"/>
      <c r="U390"/>
      <c r="V390"/>
      <c r="W390"/>
      <c r="X390"/>
      <c r="Y390"/>
      <c r="Z390"/>
      <c r="AA390"/>
      <c r="AB390"/>
      <c r="AC390"/>
    </row>
    <row r="391" spans="1:29" x14ac:dyDescent="0.25">
      <c r="A391"/>
      <c r="B391"/>
      <c r="C391" s="92"/>
      <c r="L391" s="92"/>
      <c r="M391" s="92"/>
      <c r="Q391" s="115"/>
      <c r="R391" s="92"/>
      <c r="S391"/>
      <c r="T391"/>
      <c r="U391"/>
      <c r="V391"/>
      <c r="W391"/>
      <c r="X391"/>
      <c r="Y391"/>
      <c r="Z391"/>
      <c r="AA391"/>
      <c r="AB391"/>
      <c r="AC391"/>
    </row>
    <row r="392" spans="1:29" x14ac:dyDescent="0.25">
      <c r="A392"/>
      <c r="B392"/>
      <c r="C392" s="92"/>
      <c r="L392" s="92"/>
      <c r="M392" s="92"/>
      <c r="Q392" s="115"/>
      <c r="R392" s="92"/>
      <c r="S392"/>
      <c r="T392"/>
      <c r="U392"/>
      <c r="V392"/>
      <c r="W392"/>
      <c r="X392"/>
      <c r="Y392"/>
      <c r="Z392"/>
      <c r="AA392"/>
      <c r="AB392"/>
      <c r="AC392"/>
    </row>
    <row r="393" spans="1:29" x14ac:dyDescent="0.25">
      <c r="A393"/>
      <c r="B393"/>
      <c r="C393" s="92"/>
      <c r="L393" s="92"/>
      <c r="M393" s="92"/>
      <c r="Q393" s="115"/>
      <c r="R393" s="92"/>
      <c r="S393"/>
      <c r="T393"/>
      <c r="U393"/>
      <c r="V393"/>
      <c r="W393"/>
      <c r="X393"/>
      <c r="Y393"/>
      <c r="Z393"/>
      <c r="AA393"/>
      <c r="AB393"/>
      <c r="AC393"/>
    </row>
    <row r="394" spans="1:29" x14ac:dyDescent="0.25">
      <c r="A394"/>
      <c r="B394"/>
      <c r="C394" s="92"/>
      <c r="L394" s="92"/>
      <c r="M394" s="92"/>
      <c r="Q394" s="115"/>
      <c r="R394" s="92"/>
      <c r="S394"/>
      <c r="T394"/>
      <c r="U394"/>
      <c r="V394"/>
      <c r="W394"/>
      <c r="X394"/>
      <c r="Y394"/>
      <c r="Z394"/>
      <c r="AA394"/>
      <c r="AB394"/>
      <c r="AC394"/>
    </row>
    <row r="395" spans="1:29" x14ac:dyDescent="0.25">
      <c r="A395"/>
      <c r="B395"/>
      <c r="C395" s="92"/>
      <c r="L395" s="92"/>
      <c r="M395" s="92"/>
      <c r="Q395" s="115"/>
      <c r="R395" s="92"/>
      <c r="S395"/>
      <c r="T395"/>
      <c r="U395"/>
      <c r="V395"/>
      <c r="W395"/>
      <c r="X395"/>
      <c r="Y395"/>
      <c r="Z395"/>
      <c r="AA395"/>
      <c r="AB395"/>
      <c r="AC395"/>
    </row>
    <row r="396" spans="1:29" x14ac:dyDescent="0.25">
      <c r="A396"/>
      <c r="B396"/>
      <c r="C396" s="92"/>
      <c r="L396" s="92"/>
      <c r="M396" s="92"/>
      <c r="Q396" s="115"/>
      <c r="R396" s="92"/>
      <c r="S396"/>
      <c r="T396"/>
      <c r="U396"/>
      <c r="V396"/>
      <c r="W396"/>
      <c r="X396"/>
      <c r="Y396"/>
      <c r="Z396"/>
      <c r="AA396"/>
      <c r="AB396"/>
      <c r="AC396"/>
    </row>
    <row r="397" spans="1:29" x14ac:dyDescent="0.25">
      <c r="A397"/>
      <c r="B397"/>
      <c r="C397" s="92"/>
      <c r="L397" s="92"/>
      <c r="M397" s="92"/>
      <c r="Q397" s="115"/>
      <c r="R397" s="92"/>
      <c r="S397"/>
      <c r="T397"/>
      <c r="U397"/>
      <c r="V397"/>
      <c r="W397"/>
      <c r="X397"/>
      <c r="Y397"/>
      <c r="Z397"/>
      <c r="AA397"/>
      <c r="AB397"/>
      <c r="AC397"/>
    </row>
    <row r="398" spans="1:29" x14ac:dyDescent="0.25">
      <c r="A398"/>
      <c r="B398"/>
      <c r="C398" s="92"/>
      <c r="L398" s="92"/>
      <c r="M398" s="92"/>
      <c r="Q398" s="115"/>
      <c r="R398" s="92"/>
      <c r="S398"/>
      <c r="T398"/>
      <c r="U398"/>
      <c r="V398"/>
      <c r="W398"/>
      <c r="X398"/>
      <c r="Y398"/>
      <c r="Z398"/>
      <c r="AA398"/>
      <c r="AB398"/>
      <c r="AC398"/>
    </row>
    <row r="399" spans="1:29" x14ac:dyDescent="0.25">
      <c r="A399"/>
      <c r="B399"/>
      <c r="C399" s="92"/>
      <c r="L399" s="92"/>
      <c r="M399" s="92"/>
      <c r="Q399" s="115"/>
      <c r="R399" s="92"/>
      <c r="S399"/>
      <c r="T399"/>
      <c r="U399"/>
      <c r="V399"/>
      <c r="W399"/>
      <c r="X399"/>
      <c r="Y399"/>
      <c r="Z399"/>
      <c r="AA399"/>
      <c r="AB399"/>
      <c r="AC399"/>
    </row>
    <row r="400" spans="1:29" x14ac:dyDescent="0.25">
      <c r="A400"/>
      <c r="B400"/>
      <c r="C400" s="92"/>
      <c r="L400" s="92"/>
      <c r="M400" s="92"/>
      <c r="Q400" s="115"/>
      <c r="R400" s="92"/>
      <c r="S400"/>
      <c r="T400"/>
      <c r="U400"/>
      <c r="V400"/>
      <c r="W400"/>
      <c r="X400"/>
      <c r="Y400"/>
      <c r="Z400"/>
      <c r="AA400"/>
      <c r="AB400"/>
      <c r="AC400"/>
    </row>
    <row r="401" spans="1:29" x14ac:dyDescent="0.25">
      <c r="A401"/>
      <c r="B401"/>
      <c r="C401" s="92"/>
      <c r="L401" s="92"/>
      <c r="M401" s="92"/>
      <c r="Q401" s="115"/>
      <c r="R401" s="92"/>
      <c r="S401"/>
      <c r="T401"/>
      <c r="U401"/>
      <c r="V401"/>
      <c r="W401"/>
      <c r="X401"/>
      <c r="Y401"/>
      <c r="Z401"/>
      <c r="AA401"/>
      <c r="AB401"/>
      <c r="AC401"/>
    </row>
    <row r="402" spans="1:29" x14ac:dyDescent="0.25">
      <c r="A402"/>
      <c r="B402"/>
      <c r="C402" s="92"/>
      <c r="L402" s="92"/>
      <c r="M402" s="92"/>
      <c r="Q402" s="115"/>
      <c r="R402" s="92"/>
      <c r="S402"/>
      <c r="T402"/>
      <c r="U402"/>
      <c r="V402"/>
      <c r="W402"/>
      <c r="X402"/>
      <c r="Y402"/>
      <c r="Z402"/>
      <c r="AA402"/>
      <c r="AB402"/>
      <c r="AC402"/>
    </row>
    <row r="403" spans="1:29" x14ac:dyDescent="0.25">
      <c r="A403"/>
      <c r="B403"/>
      <c r="C403" s="92"/>
      <c r="L403" s="92"/>
      <c r="M403" s="92"/>
      <c r="Q403" s="115"/>
      <c r="R403" s="92"/>
      <c r="S403"/>
      <c r="T403"/>
      <c r="U403"/>
      <c r="V403"/>
      <c r="W403"/>
      <c r="X403"/>
      <c r="Y403"/>
      <c r="Z403"/>
      <c r="AA403"/>
      <c r="AB403"/>
      <c r="AC403"/>
    </row>
    <row r="404" spans="1:29" x14ac:dyDescent="0.25">
      <c r="A404"/>
      <c r="B404"/>
      <c r="C404" s="92"/>
      <c r="L404" s="92"/>
      <c r="M404" s="92"/>
      <c r="Q404" s="115"/>
      <c r="R404" s="92"/>
      <c r="S404"/>
      <c r="T404"/>
      <c r="U404"/>
      <c r="V404"/>
      <c r="W404"/>
      <c r="X404"/>
      <c r="Y404"/>
      <c r="Z404"/>
      <c r="AA404"/>
      <c r="AB404"/>
      <c r="AC404"/>
    </row>
    <row r="405" spans="1:29" x14ac:dyDescent="0.25">
      <c r="A405"/>
      <c r="B405"/>
      <c r="C405" s="92"/>
      <c r="L405" s="92"/>
      <c r="M405" s="92"/>
      <c r="Q405" s="115"/>
      <c r="R405" s="92"/>
      <c r="S405"/>
      <c r="T405"/>
      <c r="U405"/>
      <c r="V405"/>
      <c r="W405"/>
      <c r="X405"/>
      <c r="Y405"/>
      <c r="Z405"/>
      <c r="AA405"/>
      <c r="AB405"/>
      <c r="AC405"/>
    </row>
    <row r="406" spans="1:29" x14ac:dyDescent="0.25">
      <c r="A406"/>
      <c r="B406"/>
      <c r="C406" s="92"/>
      <c r="L406" s="92"/>
      <c r="M406" s="92"/>
      <c r="Q406" s="115"/>
      <c r="R406" s="92"/>
      <c r="S406"/>
      <c r="T406"/>
      <c r="U406"/>
      <c r="V406"/>
      <c r="W406"/>
      <c r="X406"/>
      <c r="Y406"/>
      <c r="Z406"/>
      <c r="AA406"/>
      <c r="AB406"/>
      <c r="AC406"/>
    </row>
    <row r="407" spans="1:29" x14ac:dyDescent="0.25">
      <c r="A407"/>
      <c r="B407"/>
      <c r="C407" s="92"/>
      <c r="L407" s="92"/>
      <c r="M407" s="92"/>
      <c r="Q407" s="115"/>
      <c r="R407" s="92"/>
      <c r="S407"/>
      <c r="T407"/>
      <c r="U407"/>
      <c r="V407"/>
      <c r="W407"/>
      <c r="X407"/>
      <c r="Y407"/>
      <c r="Z407"/>
      <c r="AA407"/>
      <c r="AB407"/>
      <c r="AC407"/>
    </row>
    <row r="408" spans="1:29" x14ac:dyDescent="0.25">
      <c r="A408"/>
      <c r="B408"/>
      <c r="C408" s="92"/>
      <c r="L408" s="92"/>
      <c r="M408" s="92"/>
      <c r="Q408" s="115"/>
      <c r="R408" s="92"/>
      <c r="S408"/>
      <c r="T408"/>
      <c r="U408"/>
      <c r="V408"/>
      <c r="W408"/>
      <c r="X408"/>
      <c r="Y408"/>
      <c r="Z408"/>
      <c r="AA408"/>
      <c r="AB408"/>
      <c r="AC408"/>
    </row>
    <row r="409" spans="1:29" x14ac:dyDescent="0.25">
      <c r="A409"/>
      <c r="B409"/>
      <c r="C409" s="92"/>
      <c r="L409" s="92"/>
      <c r="M409" s="92"/>
      <c r="Q409" s="115"/>
      <c r="R409" s="92"/>
      <c r="S409"/>
      <c r="T409"/>
      <c r="U409"/>
      <c r="V409"/>
      <c r="W409"/>
      <c r="X409"/>
      <c r="Y409"/>
      <c r="Z409"/>
      <c r="AA409"/>
      <c r="AB409"/>
      <c r="AC409"/>
    </row>
    <row r="410" spans="1:29" x14ac:dyDescent="0.25">
      <c r="A410"/>
      <c r="B410"/>
      <c r="C410" s="92"/>
      <c r="L410" s="92"/>
      <c r="M410" s="92"/>
      <c r="Q410" s="115"/>
      <c r="R410" s="92"/>
      <c r="S410"/>
      <c r="T410"/>
      <c r="U410"/>
      <c r="V410"/>
      <c r="W410"/>
      <c r="X410"/>
      <c r="Y410"/>
      <c r="Z410"/>
      <c r="AA410"/>
      <c r="AB410"/>
      <c r="AC410"/>
    </row>
    <row r="411" spans="1:29" x14ac:dyDescent="0.25">
      <c r="A411"/>
      <c r="B411"/>
      <c r="C411" s="92"/>
      <c r="L411" s="92"/>
      <c r="M411" s="92"/>
      <c r="Q411" s="115"/>
      <c r="R411" s="92"/>
      <c r="S411"/>
      <c r="T411"/>
      <c r="U411"/>
      <c r="V411"/>
      <c r="W411"/>
      <c r="X411"/>
      <c r="Y411"/>
      <c r="Z411"/>
      <c r="AA411"/>
      <c r="AB411"/>
      <c r="AC411"/>
    </row>
    <row r="412" spans="1:29" x14ac:dyDescent="0.25">
      <c r="A412"/>
      <c r="B412"/>
      <c r="C412" s="92"/>
      <c r="L412" s="92"/>
      <c r="M412" s="92"/>
      <c r="Q412" s="115"/>
      <c r="R412" s="92"/>
      <c r="S412"/>
      <c r="T412"/>
      <c r="U412"/>
      <c r="V412"/>
      <c r="W412"/>
      <c r="X412"/>
      <c r="Y412"/>
      <c r="Z412"/>
      <c r="AA412"/>
      <c r="AB412"/>
      <c r="AC412"/>
    </row>
    <row r="413" spans="1:29" x14ac:dyDescent="0.25">
      <c r="A413"/>
      <c r="B413"/>
      <c r="C413" s="92"/>
      <c r="L413" s="92"/>
      <c r="M413" s="92"/>
      <c r="Q413" s="115"/>
      <c r="R413" s="92"/>
      <c r="S413"/>
      <c r="T413"/>
      <c r="U413"/>
      <c r="V413"/>
      <c r="W413"/>
      <c r="X413"/>
      <c r="Y413"/>
      <c r="Z413"/>
      <c r="AA413"/>
      <c r="AB413"/>
      <c r="AC413"/>
    </row>
    <row r="414" spans="1:29" x14ac:dyDescent="0.25">
      <c r="A414"/>
      <c r="B414"/>
      <c r="C414" s="92"/>
      <c r="L414" s="92"/>
      <c r="M414" s="92"/>
      <c r="Q414" s="115"/>
      <c r="R414" s="92"/>
      <c r="S414"/>
      <c r="T414"/>
      <c r="U414"/>
      <c r="V414"/>
      <c r="W414"/>
      <c r="X414"/>
      <c r="Y414"/>
      <c r="Z414"/>
      <c r="AA414"/>
      <c r="AB414"/>
      <c r="AC414"/>
    </row>
    <row r="415" spans="1:29" x14ac:dyDescent="0.25">
      <c r="A415"/>
      <c r="B415"/>
      <c r="C415" s="92"/>
      <c r="L415" s="92"/>
      <c r="M415" s="92"/>
      <c r="Q415" s="115"/>
      <c r="R415" s="92"/>
      <c r="S415"/>
      <c r="T415"/>
      <c r="U415"/>
      <c r="V415"/>
      <c r="W415"/>
      <c r="X415"/>
      <c r="Y415"/>
      <c r="Z415"/>
      <c r="AA415"/>
      <c r="AB415"/>
      <c r="AC415"/>
    </row>
    <row r="416" spans="1:29" x14ac:dyDescent="0.25">
      <c r="A416"/>
      <c r="B416"/>
      <c r="C416" s="92"/>
      <c r="L416" s="92"/>
      <c r="M416" s="92"/>
      <c r="Q416" s="115"/>
      <c r="R416" s="92"/>
      <c r="S416"/>
      <c r="T416"/>
      <c r="U416"/>
      <c r="V416"/>
      <c r="W416"/>
      <c r="X416"/>
      <c r="Y416"/>
      <c r="Z416"/>
      <c r="AA416"/>
      <c r="AB416"/>
      <c r="AC416"/>
    </row>
    <row r="417" spans="1:29" x14ac:dyDescent="0.25">
      <c r="A417"/>
      <c r="B417"/>
      <c r="C417" s="92"/>
      <c r="L417" s="92"/>
      <c r="M417" s="92"/>
      <c r="Q417" s="115"/>
      <c r="R417" s="92"/>
      <c r="S417"/>
      <c r="T417"/>
      <c r="U417"/>
      <c r="V417"/>
      <c r="W417"/>
      <c r="X417"/>
      <c r="Y417"/>
      <c r="Z417"/>
      <c r="AA417"/>
      <c r="AB417"/>
      <c r="AC417"/>
    </row>
    <row r="418" spans="1:29" x14ac:dyDescent="0.25">
      <c r="A418"/>
      <c r="B418"/>
      <c r="C418" s="92"/>
      <c r="L418" s="92"/>
      <c r="M418" s="92"/>
      <c r="Q418" s="115"/>
      <c r="R418" s="92"/>
      <c r="S418"/>
      <c r="T418"/>
      <c r="U418"/>
      <c r="V418"/>
      <c r="W418"/>
      <c r="X418"/>
      <c r="Y418"/>
      <c r="Z418"/>
      <c r="AA418"/>
      <c r="AB418"/>
      <c r="AC418"/>
    </row>
    <row r="419" spans="1:29" x14ac:dyDescent="0.25">
      <c r="A419"/>
      <c r="B419"/>
      <c r="C419" s="92"/>
      <c r="L419" s="92"/>
      <c r="M419" s="92"/>
      <c r="Q419" s="115"/>
      <c r="R419" s="92"/>
      <c r="S419"/>
      <c r="T419"/>
      <c r="U419"/>
      <c r="V419"/>
      <c r="W419"/>
      <c r="X419"/>
      <c r="Y419"/>
      <c r="Z419"/>
      <c r="AA419"/>
      <c r="AB419"/>
      <c r="AC419"/>
    </row>
    <row r="420" spans="1:29" x14ac:dyDescent="0.25">
      <c r="A420"/>
      <c r="B420"/>
      <c r="C420" s="92"/>
      <c r="L420" s="92"/>
      <c r="M420" s="92"/>
      <c r="Q420" s="115"/>
      <c r="R420" s="92"/>
      <c r="S420"/>
      <c r="T420"/>
      <c r="U420"/>
      <c r="V420"/>
      <c r="W420"/>
      <c r="X420"/>
      <c r="Y420"/>
      <c r="Z420"/>
      <c r="AA420"/>
      <c r="AB420"/>
      <c r="AC420"/>
    </row>
    <row r="421" spans="1:29" x14ac:dyDescent="0.25">
      <c r="A421"/>
      <c r="B421"/>
      <c r="C421" s="92"/>
      <c r="L421" s="92"/>
      <c r="M421" s="92"/>
      <c r="Q421" s="115"/>
      <c r="R421" s="92"/>
      <c r="S421"/>
      <c r="T421"/>
      <c r="U421"/>
      <c r="V421"/>
      <c r="W421"/>
      <c r="X421"/>
      <c r="Y421"/>
      <c r="Z421"/>
      <c r="AA421"/>
      <c r="AB421"/>
      <c r="AC421"/>
    </row>
    <row r="422" spans="1:29" x14ac:dyDescent="0.25">
      <c r="A422"/>
      <c r="B422"/>
      <c r="C422" s="92"/>
      <c r="L422" s="92"/>
      <c r="M422" s="92"/>
      <c r="Q422" s="115"/>
      <c r="R422" s="92"/>
      <c r="S422"/>
      <c r="T422"/>
      <c r="U422"/>
      <c r="V422"/>
      <c r="W422"/>
      <c r="X422"/>
      <c r="Y422"/>
      <c r="Z422"/>
      <c r="AA422"/>
      <c r="AB422"/>
      <c r="AC422"/>
    </row>
    <row r="423" spans="1:29" x14ac:dyDescent="0.25">
      <c r="A423"/>
      <c r="B423"/>
      <c r="C423" s="92"/>
      <c r="L423" s="92"/>
      <c r="M423" s="92"/>
      <c r="Q423" s="115"/>
      <c r="R423" s="92"/>
      <c r="S423"/>
      <c r="T423"/>
      <c r="U423"/>
      <c r="V423"/>
      <c r="W423"/>
      <c r="X423"/>
      <c r="Y423"/>
      <c r="Z423"/>
      <c r="AA423"/>
      <c r="AB423"/>
      <c r="AC423"/>
    </row>
    <row r="424" spans="1:29" x14ac:dyDescent="0.25">
      <c r="A424"/>
      <c r="B424"/>
      <c r="C424" s="92"/>
      <c r="L424" s="92"/>
      <c r="M424" s="92"/>
      <c r="Q424" s="115"/>
      <c r="R424" s="92"/>
      <c r="S424"/>
      <c r="T424"/>
      <c r="U424"/>
      <c r="V424"/>
      <c r="W424"/>
      <c r="X424"/>
      <c r="Y424"/>
      <c r="Z424"/>
      <c r="AA424"/>
      <c r="AB424"/>
      <c r="AC424"/>
    </row>
    <row r="425" spans="1:29" x14ac:dyDescent="0.25">
      <c r="A425"/>
      <c r="B425"/>
      <c r="C425" s="92"/>
      <c r="L425" s="92"/>
      <c r="M425" s="92"/>
      <c r="Q425" s="115"/>
      <c r="R425" s="92"/>
      <c r="S425"/>
      <c r="T425"/>
      <c r="U425"/>
      <c r="V425"/>
      <c r="W425"/>
      <c r="X425"/>
      <c r="Y425"/>
      <c r="Z425"/>
      <c r="AA425"/>
      <c r="AB425"/>
      <c r="AC425"/>
    </row>
    <row r="426" spans="1:29" x14ac:dyDescent="0.25">
      <c r="A426"/>
      <c r="B426"/>
      <c r="C426" s="92"/>
      <c r="L426" s="92"/>
      <c r="M426" s="92"/>
      <c r="Q426" s="115"/>
      <c r="R426" s="92"/>
      <c r="S426"/>
      <c r="T426"/>
      <c r="U426"/>
      <c r="V426"/>
      <c r="W426"/>
      <c r="X426"/>
      <c r="Y426"/>
      <c r="Z426"/>
      <c r="AA426"/>
      <c r="AB426"/>
      <c r="AC426"/>
    </row>
    <row r="427" spans="1:29" x14ac:dyDescent="0.25">
      <c r="A427"/>
      <c r="B427"/>
      <c r="C427" s="92"/>
      <c r="L427" s="92"/>
      <c r="M427" s="92"/>
      <c r="Q427" s="115"/>
      <c r="R427" s="92"/>
      <c r="S427"/>
      <c r="T427"/>
      <c r="U427"/>
      <c r="V427"/>
      <c r="W427"/>
      <c r="X427"/>
      <c r="Y427"/>
      <c r="Z427"/>
      <c r="AA427"/>
      <c r="AB427"/>
      <c r="AC427"/>
    </row>
    <row r="428" spans="1:29" x14ac:dyDescent="0.25">
      <c r="A428"/>
      <c r="B428"/>
      <c r="C428" s="92"/>
      <c r="L428" s="92"/>
      <c r="M428" s="92"/>
      <c r="Q428" s="115"/>
      <c r="R428" s="92"/>
      <c r="S428"/>
      <c r="T428"/>
      <c r="U428"/>
      <c r="V428"/>
      <c r="W428"/>
      <c r="X428"/>
      <c r="Y428"/>
      <c r="Z428"/>
      <c r="AA428"/>
      <c r="AB428"/>
      <c r="AC428"/>
    </row>
    <row r="429" spans="1:29" x14ac:dyDescent="0.25">
      <c r="A429"/>
      <c r="B429"/>
      <c r="C429" s="92"/>
      <c r="L429" s="92"/>
      <c r="M429" s="92"/>
      <c r="Q429" s="115"/>
      <c r="R429" s="92"/>
      <c r="S429"/>
      <c r="T429"/>
      <c r="U429"/>
      <c r="V429"/>
      <c r="W429"/>
      <c r="X429"/>
      <c r="Y429"/>
      <c r="Z429"/>
      <c r="AA429"/>
      <c r="AB429"/>
      <c r="AC429"/>
    </row>
    <row r="430" spans="1:29" x14ac:dyDescent="0.25">
      <c r="A430"/>
      <c r="B430"/>
      <c r="C430" s="92"/>
      <c r="L430" s="92"/>
      <c r="M430" s="92"/>
      <c r="Q430" s="115"/>
      <c r="R430" s="92"/>
      <c r="S430"/>
      <c r="T430"/>
      <c r="U430"/>
      <c r="V430"/>
      <c r="W430"/>
      <c r="X430"/>
      <c r="Y430"/>
      <c r="Z430"/>
      <c r="AA430"/>
      <c r="AB430"/>
      <c r="AC430"/>
    </row>
    <row r="431" spans="1:29" x14ac:dyDescent="0.25">
      <c r="A431"/>
      <c r="B431"/>
      <c r="C431" s="92"/>
      <c r="L431" s="92"/>
      <c r="M431" s="92"/>
      <c r="Q431" s="115"/>
      <c r="R431" s="92"/>
      <c r="S431"/>
      <c r="T431"/>
      <c r="U431"/>
      <c r="V431"/>
      <c r="W431"/>
      <c r="X431"/>
      <c r="Y431"/>
      <c r="Z431"/>
      <c r="AA431"/>
      <c r="AB431"/>
      <c r="AC431"/>
    </row>
    <row r="432" spans="1:29" x14ac:dyDescent="0.25">
      <c r="A432"/>
      <c r="B432"/>
      <c r="C432" s="92"/>
      <c r="L432" s="92"/>
      <c r="M432" s="92"/>
      <c r="Q432" s="115"/>
      <c r="R432" s="92"/>
      <c r="S432"/>
      <c r="T432"/>
      <c r="U432"/>
      <c r="V432"/>
      <c r="W432"/>
      <c r="X432"/>
      <c r="Y432"/>
      <c r="Z432"/>
      <c r="AA432"/>
      <c r="AB432"/>
      <c r="AC432"/>
    </row>
    <row r="433" spans="1:29" x14ac:dyDescent="0.25">
      <c r="A433"/>
      <c r="B433"/>
      <c r="C433" s="92"/>
      <c r="L433" s="92"/>
      <c r="M433" s="92"/>
      <c r="Q433" s="115"/>
      <c r="R433" s="92"/>
      <c r="S433"/>
      <c r="T433"/>
      <c r="U433"/>
      <c r="V433"/>
      <c r="W433"/>
      <c r="X433"/>
      <c r="Y433"/>
      <c r="Z433"/>
      <c r="AA433"/>
      <c r="AB433"/>
      <c r="AC433"/>
    </row>
    <row r="434" spans="1:29" x14ac:dyDescent="0.25">
      <c r="A434"/>
      <c r="B434"/>
      <c r="C434" s="92"/>
      <c r="L434" s="92"/>
      <c r="M434" s="92"/>
      <c r="Q434" s="115"/>
      <c r="R434" s="92"/>
      <c r="S434"/>
      <c r="T434"/>
      <c r="U434"/>
      <c r="V434"/>
      <c r="W434"/>
      <c r="X434"/>
      <c r="Y434"/>
      <c r="Z434"/>
      <c r="AA434"/>
      <c r="AB434"/>
      <c r="AC434"/>
    </row>
    <row r="435" spans="1:29" x14ac:dyDescent="0.25">
      <c r="A435"/>
      <c r="B435"/>
      <c r="C435" s="92"/>
      <c r="L435" s="92"/>
      <c r="M435" s="92"/>
      <c r="Q435" s="115"/>
      <c r="R435" s="92"/>
      <c r="S435"/>
      <c r="T435"/>
      <c r="U435"/>
      <c r="V435"/>
      <c r="W435"/>
      <c r="X435"/>
      <c r="Y435"/>
      <c r="Z435"/>
      <c r="AA435"/>
      <c r="AB435"/>
      <c r="AC435"/>
    </row>
    <row r="436" spans="1:29" x14ac:dyDescent="0.25">
      <c r="A436"/>
      <c r="B436"/>
      <c r="C436" s="92"/>
      <c r="L436" s="92"/>
      <c r="M436" s="92"/>
      <c r="Q436" s="115"/>
      <c r="R436" s="92"/>
      <c r="S436"/>
      <c r="T436"/>
      <c r="U436"/>
      <c r="V436"/>
      <c r="W436"/>
      <c r="X436"/>
      <c r="Y436"/>
      <c r="Z436"/>
      <c r="AA436"/>
      <c r="AB436"/>
      <c r="AC436"/>
    </row>
    <row r="437" spans="1:29" x14ac:dyDescent="0.25">
      <c r="A437"/>
      <c r="B437"/>
      <c r="C437" s="92"/>
      <c r="L437" s="92"/>
      <c r="M437" s="92"/>
      <c r="Q437" s="115"/>
      <c r="R437" s="92"/>
      <c r="S437"/>
      <c r="T437"/>
      <c r="U437"/>
      <c r="V437"/>
      <c r="W437"/>
      <c r="X437"/>
      <c r="Y437"/>
      <c r="Z437"/>
      <c r="AA437"/>
      <c r="AB437"/>
      <c r="AC437"/>
    </row>
    <row r="438" spans="1:29" x14ac:dyDescent="0.25">
      <c r="A438"/>
      <c r="B438"/>
      <c r="C438" s="92"/>
      <c r="L438" s="92"/>
      <c r="M438" s="92"/>
      <c r="Q438" s="115"/>
      <c r="R438" s="92"/>
      <c r="S438"/>
      <c r="T438"/>
      <c r="U438"/>
      <c r="V438"/>
      <c r="W438"/>
      <c r="X438"/>
      <c r="Y438"/>
      <c r="Z438"/>
      <c r="AA438"/>
      <c r="AB438"/>
      <c r="AC438"/>
    </row>
    <row r="439" spans="1:29" x14ac:dyDescent="0.25">
      <c r="A439"/>
      <c r="B439"/>
      <c r="C439" s="92"/>
      <c r="L439" s="92"/>
      <c r="M439" s="92"/>
      <c r="Q439" s="115"/>
      <c r="R439" s="92"/>
      <c r="S439"/>
      <c r="T439"/>
      <c r="U439"/>
      <c r="V439"/>
      <c r="W439"/>
      <c r="X439"/>
      <c r="Y439"/>
      <c r="Z439"/>
      <c r="AA439"/>
      <c r="AB439"/>
      <c r="AC439"/>
    </row>
    <row r="440" spans="1:29" x14ac:dyDescent="0.25">
      <c r="A440"/>
      <c r="B440"/>
      <c r="C440" s="92"/>
      <c r="L440" s="92"/>
      <c r="M440" s="92"/>
      <c r="Q440" s="115"/>
      <c r="R440" s="92"/>
      <c r="S440"/>
      <c r="T440"/>
      <c r="U440"/>
      <c r="V440"/>
      <c r="W440"/>
      <c r="X440"/>
      <c r="Y440"/>
      <c r="Z440"/>
      <c r="AA440"/>
      <c r="AB440"/>
      <c r="AC440"/>
    </row>
    <row r="441" spans="1:29" x14ac:dyDescent="0.25">
      <c r="A441"/>
      <c r="B441"/>
      <c r="C441" s="92"/>
      <c r="L441" s="92"/>
      <c r="M441" s="92"/>
      <c r="Q441" s="115"/>
      <c r="R441" s="92"/>
      <c r="S441"/>
      <c r="T441"/>
      <c r="U441"/>
      <c r="V441"/>
      <c r="W441"/>
      <c r="X441"/>
      <c r="Y441"/>
      <c r="Z441"/>
      <c r="AA441"/>
      <c r="AB441"/>
      <c r="AC441"/>
    </row>
    <row r="442" spans="1:29" x14ac:dyDescent="0.25">
      <c r="A442"/>
      <c r="B442"/>
      <c r="C442" s="92"/>
      <c r="L442" s="92"/>
      <c r="M442" s="92"/>
      <c r="Q442" s="115"/>
      <c r="R442" s="92"/>
      <c r="S442"/>
      <c r="T442"/>
      <c r="U442"/>
      <c r="V442"/>
      <c r="W442"/>
      <c r="X442"/>
      <c r="Y442"/>
      <c r="Z442"/>
      <c r="AA442"/>
      <c r="AB442"/>
      <c r="AC442"/>
    </row>
    <row r="443" spans="1:29" x14ac:dyDescent="0.25">
      <c r="A443"/>
      <c r="B443"/>
      <c r="C443" s="92"/>
      <c r="L443" s="92"/>
      <c r="M443" s="92"/>
      <c r="Q443" s="115"/>
      <c r="R443" s="92"/>
      <c r="S443"/>
      <c r="T443"/>
      <c r="U443"/>
      <c r="V443"/>
      <c r="W443"/>
      <c r="X443"/>
      <c r="Y443"/>
      <c r="Z443"/>
      <c r="AA443"/>
      <c r="AB443"/>
      <c r="AC443"/>
    </row>
    <row r="444" spans="1:29" x14ac:dyDescent="0.25">
      <c r="A444"/>
      <c r="B444"/>
      <c r="C444" s="92"/>
      <c r="L444" s="92"/>
      <c r="M444" s="92"/>
      <c r="Q444" s="115"/>
      <c r="R444" s="92"/>
      <c r="S444"/>
      <c r="T444"/>
      <c r="U444"/>
      <c r="V444"/>
      <c r="W444"/>
      <c r="X444"/>
      <c r="Y444"/>
      <c r="Z444"/>
      <c r="AA444"/>
      <c r="AB444"/>
      <c r="AC444"/>
    </row>
    <row r="445" spans="1:29" x14ac:dyDescent="0.25">
      <c r="A445"/>
      <c r="B445"/>
      <c r="C445" s="92"/>
      <c r="L445" s="92"/>
      <c r="M445" s="92"/>
      <c r="Q445" s="115"/>
      <c r="R445" s="92"/>
      <c r="S445"/>
      <c r="T445"/>
      <c r="U445"/>
      <c r="V445"/>
      <c r="W445"/>
      <c r="X445"/>
      <c r="Y445"/>
      <c r="Z445"/>
      <c r="AA445"/>
      <c r="AB445"/>
      <c r="AC445"/>
    </row>
    <row r="446" spans="1:29" x14ac:dyDescent="0.25">
      <c r="A446"/>
      <c r="B446"/>
      <c r="C446" s="92"/>
      <c r="L446" s="92"/>
      <c r="M446" s="92"/>
      <c r="Q446" s="115"/>
      <c r="R446" s="92"/>
      <c r="S446"/>
      <c r="T446"/>
      <c r="U446"/>
      <c r="V446"/>
      <c r="W446"/>
      <c r="X446"/>
      <c r="Y446"/>
      <c r="Z446"/>
      <c r="AA446"/>
      <c r="AB446"/>
      <c r="AC446"/>
    </row>
    <row r="447" spans="1:29" x14ac:dyDescent="0.25">
      <c r="A447"/>
      <c r="B447"/>
      <c r="C447" s="92"/>
      <c r="L447" s="92"/>
      <c r="M447" s="92"/>
      <c r="Q447" s="115"/>
      <c r="R447" s="92"/>
      <c r="S447"/>
      <c r="T447"/>
      <c r="U447"/>
      <c r="V447"/>
      <c r="W447"/>
      <c r="X447"/>
      <c r="Y447"/>
      <c r="Z447"/>
      <c r="AA447"/>
      <c r="AB447"/>
      <c r="AC447"/>
    </row>
    <row r="448" spans="1:29" x14ac:dyDescent="0.25">
      <c r="A448"/>
      <c r="B448"/>
      <c r="C448" s="92"/>
      <c r="L448" s="92"/>
      <c r="M448" s="92"/>
      <c r="Q448" s="115"/>
      <c r="R448" s="92"/>
      <c r="S448"/>
      <c r="T448"/>
      <c r="U448"/>
      <c r="V448"/>
      <c r="W448"/>
      <c r="X448"/>
      <c r="Y448"/>
      <c r="Z448"/>
      <c r="AA448"/>
      <c r="AB448"/>
      <c r="AC448"/>
    </row>
    <row r="449" spans="1:29" x14ac:dyDescent="0.25">
      <c r="A449"/>
      <c r="B449"/>
      <c r="C449" s="92"/>
      <c r="L449" s="92"/>
      <c r="M449" s="92"/>
      <c r="Q449" s="115"/>
      <c r="R449" s="92"/>
      <c r="S449"/>
      <c r="T449"/>
      <c r="U449"/>
      <c r="V449"/>
      <c r="W449"/>
      <c r="X449"/>
      <c r="Y449"/>
      <c r="Z449"/>
      <c r="AA449"/>
      <c r="AB449"/>
      <c r="AC449"/>
    </row>
    <row r="450" spans="1:29" x14ac:dyDescent="0.25">
      <c r="A450"/>
      <c r="B450"/>
      <c r="C450" s="92"/>
      <c r="L450" s="92"/>
      <c r="M450" s="92"/>
      <c r="Q450" s="115"/>
      <c r="R450" s="92"/>
      <c r="S450"/>
      <c r="T450"/>
      <c r="U450"/>
      <c r="V450"/>
      <c r="W450"/>
      <c r="X450"/>
      <c r="Y450"/>
      <c r="Z450"/>
      <c r="AA450"/>
      <c r="AB450"/>
      <c r="AC450"/>
    </row>
    <row r="451" spans="1:29" x14ac:dyDescent="0.25">
      <c r="A451"/>
      <c r="B451"/>
      <c r="C451" s="92"/>
      <c r="L451" s="92"/>
      <c r="M451" s="92"/>
      <c r="Q451" s="115"/>
      <c r="R451" s="92"/>
      <c r="S451"/>
      <c r="T451"/>
      <c r="U451"/>
      <c r="V451"/>
      <c r="W451"/>
      <c r="X451"/>
      <c r="Y451"/>
      <c r="Z451"/>
      <c r="AA451"/>
      <c r="AB451"/>
      <c r="AC451"/>
    </row>
    <row r="452" spans="1:29" x14ac:dyDescent="0.25">
      <c r="A452"/>
      <c r="B452"/>
      <c r="C452" s="92"/>
      <c r="L452" s="92"/>
      <c r="M452" s="92"/>
      <c r="Q452" s="115"/>
      <c r="R452" s="92"/>
      <c r="S452"/>
      <c r="T452"/>
      <c r="U452"/>
      <c r="V452"/>
      <c r="W452"/>
      <c r="X452"/>
      <c r="Y452"/>
      <c r="Z452"/>
      <c r="AA452"/>
      <c r="AB452"/>
      <c r="AC452"/>
    </row>
    <row r="453" spans="1:29" x14ac:dyDescent="0.25">
      <c r="A453"/>
      <c r="B453"/>
      <c r="C453" s="92"/>
      <c r="L453" s="92"/>
      <c r="M453" s="92"/>
      <c r="Q453" s="115"/>
      <c r="R453" s="92"/>
      <c r="S453"/>
      <c r="T453"/>
      <c r="U453"/>
      <c r="V453"/>
      <c r="W453"/>
      <c r="X453"/>
      <c r="Y453"/>
      <c r="Z453"/>
      <c r="AA453"/>
      <c r="AB453"/>
      <c r="AC453"/>
    </row>
    <row r="454" spans="1:29" x14ac:dyDescent="0.25">
      <c r="A454"/>
      <c r="B454"/>
      <c r="C454" s="92"/>
      <c r="L454" s="92"/>
      <c r="M454" s="92"/>
      <c r="Q454" s="115"/>
      <c r="R454" s="92"/>
      <c r="S454"/>
      <c r="T454"/>
      <c r="U454"/>
      <c r="V454"/>
      <c r="W454"/>
      <c r="X454"/>
      <c r="Y454"/>
      <c r="Z454"/>
      <c r="AA454"/>
      <c r="AB454"/>
      <c r="AC454"/>
    </row>
    <row r="455" spans="1:29" x14ac:dyDescent="0.25">
      <c r="A455"/>
      <c r="B455"/>
      <c r="C455" s="92"/>
      <c r="L455" s="92"/>
      <c r="M455" s="92"/>
      <c r="Q455" s="115"/>
      <c r="R455" s="92"/>
      <c r="S455"/>
      <c r="T455"/>
      <c r="U455"/>
      <c r="V455"/>
      <c r="W455"/>
      <c r="X455"/>
      <c r="Y455"/>
      <c r="Z455"/>
      <c r="AA455"/>
      <c r="AB455"/>
      <c r="AC455"/>
    </row>
    <row r="456" spans="1:29" x14ac:dyDescent="0.25">
      <c r="A456"/>
      <c r="B456"/>
      <c r="C456" s="92"/>
      <c r="L456" s="92"/>
      <c r="M456" s="92"/>
      <c r="Q456" s="115"/>
      <c r="R456" s="92"/>
      <c r="S456"/>
      <c r="T456"/>
      <c r="U456"/>
      <c r="V456"/>
      <c r="W456"/>
      <c r="X456"/>
      <c r="Y456"/>
      <c r="Z456"/>
      <c r="AA456"/>
      <c r="AB456"/>
      <c r="AC456"/>
    </row>
    <row r="457" spans="1:29" x14ac:dyDescent="0.25">
      <c r="A457"/>
      <c r="B457"/>
      <c r="C457" s="92"/>
      <c r="L457" s="92"/>
      <c r="M457" s="92"/>
      <c r="Q457" s="115"/>
      <c r="R457" s="92"/>
      <c r="S457"/>
      <c r="T457"/>
      <c r="U457"/>
      <c r="V457"/>
      <c r="W457"/>
      <c r="X457"/>
      <c r="Y457"/>
      <c r="Z457"/>
      <c r="AA457"/>
      <c r="AB457"/>
      <c r="AC457"/>
    </row>
    <row r="458" spans="1:29" x14ac:dyDescent="0.25">
      <c r="A458"/>
      <c r="B458"/>
      <c r="C458" s="92"/>
      <c r="L458" s="92"/>
      <c r="M458" s="92"/>
      <c r="Q458" s="115"/>
      <c r="R458" s="92"/>
      <c r="S458"/>
      <c r="T458"/>
      <c r="U458"/>
      <c r="V458"/>
      <c r="W458"/>
      <c r="X458"/>
      <c r="Y458"/>
      <c r="Z458"/>
      <c r="AA458"/>
      <c r="AB458"/>
      <c r="AC458"/>
    </row>
    <row r="459" spans="1:29" x14ac:dyDescent="0.25">
      <c r="A459"/>
      <c r="B459"/>
      <c r="C459" s="92"/>
      <c r="L459" s="92"/>
      <c r="M459" s="92"/>
      <c r="Q459" s="115"/>
      <c r="R459" s="92"/>
      <c r="S459"/>
      <c r="T459"/>
      <c r="U459"/>
      <c r="V459"/>
      <c r="W459"/>
      <c r="X459"/>
      <c r="Y459"/>
      <c r="Z459"/>
      <c r="AA459"/>
      <c r="AB459"/>
      <c r="AC459"/>
    </row>
    <row r="460" spans="1:29" x14ac:dyDescent="0.25">
      <c r="A460"/>
      <c r="B460"/>
      <c r="C460" s="92"/>
      <c r="L460" s="92"/>
      <c r="M460" s="92"/>
      <c r="Q460" s="115"/>
      <c r="R460" s="92"/>
      <c r="S460"/>
      <c r="T460"/>
      <c r="U460"/>
      <c r="V460"/>
      <c r="W460"/>
      <c r="X460"/>
      <c r="Y460"/>
      <c r="Z460"/>
      <c r="AA460"/>
      <c r="AB460"/>
      <c r="AC460"/>
    </row>
    <row r="461" spans="1:29" x14ac:dyDescent="0.25">
      <c r="A461"/>
      <c r="B461"/>
      <c r="C461" s="92"/>
      <c r="L461" s="92"/>
      <c r="M461" s="92"/>
      <c r="Q461" s="115"/>
      <c r="R461" s="92"/>
      <c r="S461"/>
      <c r="T461"/>
      <c r="U461"/>
      <c r="V461"/>
      <c r="W461"/>
      <c r="X461"/>
      <c r="Y461"/>
      <c r="Z461"/>
      <c r="AA461"/>
      <c r="AB461"/>
      <c r="AC461"/>
    </row>
    <row r="462" spans="1:29" x14ac:dyDescent="0.25">
      <c r="A462"/>
      <c r="B462"/>
      <c r="C462" s="92"/>
      <c r="L462" s="92"/>
      <c r="M462" s="92"/>
      <c r="Q462" s="115"/>
      <c r="R462" s="92"/>
      <c r="S462"/>
      <c r="T462"/>
      <c r="U462"/>
      <c r="V462"/>
      <c r="W462"/>
      <c r="X462"/>
      <c r="Y462"/>
      <c r="Z462"/>
      <c r="AA462"/>
      <c r="AB462"/>
      <c r="AC462"/>
    </row>
    <row r="463" spans="1:29" x14ac:dyDescent="0.25">
      <c r="A463"/>
      <c r="B463"/>
      <c r="C463" s="92"/>
      <c r="L463" s="92"/>
      <c r="M463" s="92"/>
      <c r="Q463" s="115"/>
      <c r="R463" s="92"/>
      <c r="S463"/>
      <c r="T463"/>
      <c r="U463"/>
      <c r="V463"/>
      <c r="W463"/>
      <c r="X463"/>
      <c r="Y463"/>
      <c r="Z463"/>
      <c r="AA463"/>
      <c r="AB463"/>
      <c r="AC463"/>
    </row>
    <row r="464" spans="1:29" x14ac:dyDescent="0.25">
      <c r="A464"/>
      <c r="B464"/>
      <c r="C464" s="92"/>
      <c r="L464" s="92"/>
      <c r="M464" s="92"/>
      <c r="Q464" s="115"/>
      <c r="R464" s="92"/>
      <c r="S464"/>
      <c r="T464"/>
      <c r="U464"/>
      <c r="V464"/>
      <c r="W464"/>
      <c r="X464"/>
      <c r="Y464"/>
      <c r="Z464"/>
      <c r="AA464"/>
      <c r="AB464"/>
      <c r="AC464"/>
    </row>
    <row r="465" spans="1:29" x14ac:dyDescent="0.25">
      <c r="A465"/>
      <c r="B465"/>
      <c r="C465" s="92"/>
      <c r="L465" s="92"/>
      <c r="M465" s="92"/>
      <c r="Q465" s="115"/>
      <c r="R465" s="92"/>
      <c r="S465"/>
      <c r="T465"/>
      <c r="U465"/>
      <c r="V465"/>
      <c r="W465"/>
      <c r="X465"/>
      <c r="Y465"/>
      <c r="Z465"/>
      <c r="AA465"/>
      <c r="AB465"/>
      <c r="AC465"/>
    </row>
    <row r="466" spans="1:29" x14ac:dyDescent="0.25">
      <c r="A466"/>
      <c r="B466"/>
      <c r="C466" s="92"/>
      <c r="L466" s="92"/>
      <c r="M466" s="92"/>
      <c r="Q466" s="115"/>
      <c r="R466" s="92"/>
      <c r="S466"/>
      <c r="T466"/>
      <c r="U466"/>
      <c r="V466"/>
      <c r="W466"/>
      <c r="X466"/>
      <c r="Y466"/>
      <c r="Z466"/>
      <c r="AA466"/>
      <c r="AB466"/>
      <c r="AC466"/>
    </row>
    <row r="467" spans="1:29" x14ac:dyDescent="0.25">
      <c r="A467"/>
      <c r="B467"/>
      <c r="C467" s="92"/>
      <c r="L467" s="92"/>
      <c r="M467" s="92"/>
      <c r="Q467" s="115"/>
      <c r="R467" s="92"/>
      <c r="S467"/>
      <c r="T467"/>
      <c r="U467"/>
      <c r="V467"/>
      <c r="W467"/>
      <c r="X467"/>
      <c r="Y467"/>
      <c r="Z467"/>
      <c r="AA467"/>
      <c r="AB467"/>
      <c r="AC467"/>
    </row>
    <row r="468" spans="1:29" x14ac:dyDescent="0.25">
      <c r="A468"/>
      <c r="B468"/>
      <c r="C468" s="92"/>
      <c r="L468" s="92"/>
      <c r="M468" s="92"/>
      <c r="Q468" s="115"/>
      <c r="R468" s="92"/>
      <c r="S468"/>
      <c r="T468"/>
      <c r="U468"/>
      <c r="V468"/>
      <c r="W468"/>
      <c r="X468"/>
      <c r="Y468"/>
      <c r="Z468"/>
      <c r="AA468"/>
      <c r="AB468"/>
      <c r="AC468"/>
    </row>
    <row r="469" spans="1:29" x14ac:dyDescent="0.25">
      <c r="A469"/>
      <c r="B469"/>
      <c r="C469" s="92"/>
      <c r="L469" s="92"/>
      <c r="M469" s="92"/>
      <c r="Q469" s="115"/>
      <c r="R469" s="92"/>
      <c r="S469"/>
      <c r="T469"/>
      <c r="U469"/>
      <c r="V469"/>
      <c r="W469"/>
      <c r="X469"/>
      <c r="Y469"/>
      <c r="Z469"/>
      <c r="AA469"/>
      <c r="AB469"/>
      <c r="AC469"/>
    </row>
    <row r="470" spans="1:29" x14ac:dyDescent="0.25">
      <c r="A470"/>
      <c r="B470"/>
      <c r="C470" s="92"/>
      <c r="L470" s="92"/>
      <c r="M470" s="92"/>
      <c r="Q470" s="115"/>
      <c r="R470" s="92"/>
      <c r="S470"/>
      <c r="T470"/>
      <c r="U470"/>
      <c r="V470"/>
      <c r="W470"/>
      <c r="X470"/>
      <c r="Y470"/>
      <c r="Z470"/>
      <c r="AA470"/>
      <c r="AB470"/>
      <c r="AC470"/>
    </row>
    <row r="471" spans="1:29" x14ac:dyDescent="0.25">
      <c r="A471"/>
      <c r="B471"/>
      <c r="C471" s="92"/>
      <c r="L471" s="92"/>
      <c r="M471" s="92"/>
      <c r="Q471" s="115"/>
      <c r="R471" s="92"/>
      <c r="S471"/>
      <c r="T471"/>
      <c r="U471"/>
      <c r="V471"/>
      <c r="W471"/>
      <c r="X471"/>
      <c r="Y471"/>
      <c r="Z471"/>
      <c r="AA471"/>
      <c r="AB471"/>
      <c r="AC471"/>
    </row>
    <row r="472" spans="1:29" x14ac:dyDescent="0.25">
      <c r="A472"/>
      <c r="B472"/>
      <c r="C472" s="92"/>
      <c r="L472" s="92"/>
      <c r="M472" s="92"/>
      <c r="Q472" s="115"/>
      <c r="R472" s="92"/>
      <c r="S472"/>
      <c r="T472"/>
      <c r="U472"/>
      <c r="V472"/>
      <c r="W472"/>
      <c r="X472"/>
      <c r="Y472"/>
      <c r="Z472"/>
      <c r="AA472"/>
      <c r="AB472"/>
      <c r="AC472"/>
    </row>
    <row r="473" spans="1:29" x14ac:dyDescent="0.25">
      <c r="A473"/>
      <c r="B473"/>
      <c r="C473" s="92"/>
      <c r="L473" s="92"/>
      <c r="M473" s="92"/>
      <c r="Q473" s="115"/>
      <c r="R473" s="92"/>
      <c r="S473"/>
      <c r="T473"/>
      <c r="U473"/>
      <c r="V473"/>
      <c r="W473"/>
      <c r="X473"/>
      <c r="Y473"/>
      <c r="Z473"/>
      <c r="AA473"/>
      <c r="AB473"/>
      <c r="AC473"/>
    </row>
    <row r="474" spans="1:29" x14ac:dyDescent="0.25">
      <c r="A474"/>
      <c r="B474"/>
      <c r="C474" s="92"/>
      <c r="L474" s="92"/>
      <c r="M474" s="92"/>
      <c r="Q474" s="115"/>
      <c r="R474" s="92"/>
      <c r="S474"/>
      <c r="T474"/>
      <c r="U474"/>
      <c r="V474"/>
      <c r="W474"/>
      <c r="X474"/>
      <c r="Y474"/>
      <c r="Z474"/>
      <c r="AA474"/>
      <c r="AB474"/>
      <c r="AC474"/>
    </row>
    <row r="475" spans="1:29" x14ac:dyDescent="0.25">
      <c r="A475"/>
      <c r="B475"/>
      <c r="C475" s="92"/>
      <c r="L475" s="92"/>
      <c r="M475" s="92"/>
      <c r="Q475" s="115"/>
      <c r="R475" s="92"/>
      <c r="S475"/>
      <c r="T475"/>
      <c r="U475"/>
      <c r="V475"/>
      <c r="W475"/>
      <c r="X475"/>
      <c r="Y475"/>
      <c r="Z475"/>
      <c r="AA475"/>
      <c r="AB475"/>
      <c r="AC475"/>
    </row>
    <row r="476" spans="1:29" x14ac:dyDescent="0.25">
      <c r="A476"/>
      <c r="B476"/>
      <c r="C476" s="92"/>
      <c r="L476" s="92"/>
      <c r="M476" s="92"/>
      <c r="Q476" s="115"/>
      <c r="R476" s="92"/>
      <c r="S476"/>
      <c r="T476"/>
      <c r="U476"/>
      <c r="V476"/>
      <c r="W476"/>
      <c r="X476"/>
      <c r="Y476"/>
      <c r="Z476"/>
      <c r="AA476"/>
      <c r="AB476"/>
      <c r="AC476"/>
    </row>
    <row r="477" spans="1:29" x14ac:dyDescent="0.25">
      <c r="A477"/>
      <c r="B477"/>
      <c r="C477" s="92"/>
      <c r="L477" s="92"/>
      <c r="M477" s="92"/>
      <c r="Q477" s="115"/>
      <c r="R477" s="92"/>
      <c r="S477"/>
      <c r="T477"/>
      <c r="U477"/>
      <c r="V477"/>
      <c r="W477"/>
      <c r="X477"/>
      <c r="Y477"/>
      <c r="Z477"/>
      <c r="AA477"/>
      <c r="AB477"/>
      <c r="AC477"/>
    </row>
    <row r="478" spans="1:29" x14ac:dyDescent="0.25">
      <c r="A478"/>
      <c r="B478"/>
      <c r="C478" s="92"/>
      <c r="L478" s="92"/>
      <c r="M478" s="92"/>
      <c r="Q478" s="115"/>
      <c r="R478" s="92"/>
      <c r="S478"/>
      <c r="T478"/>
      <c r="U478"/>
      <c r="V478"/>
      <c r="W478"/>
      <c r="X478"/>
      <c r="Y478"/>
      <c r="Z478"/>
      <c r="AA478"/>
      <c r="AB478"/>
      <c r="AC478"/>
    </row>
    <row r="479" spans="1:29" x14ac:dyDescent="0.25">
      <c r="A479"/>
      <c r="B479"/>
      <c r="C479" s="92"/>
      <c r="L479" s="92"/>
      <c r="M479" s="92"/>
      <c r="Q479" s="115"/>
      <c r="R479" s="92"/>
      <c r="S479"/>
      <c r="T479"/>
      <c r="U479"/>
      <c r="V479"/>
      <c r="W479"/>
      <c r="X479"/>
      <c r="Y479"/>
      <c r="Z479"/>
      <c r="AA479"/>
      <c r="AB479"/>
      <c r="AC479"/>
    </row>
    <row r="480" spans="1:29" x14ac:dyDescent="0.25">
      <c r="A480"/>
      <c r="B480"/>
      <c r="C480" s="92"/>
      <c r="L480" s="92"/>
      <c r="M480" s="92"/>
      <c r="Q480" s="115"/>
      <c r="R480" s="92"/>
      <c r="S480"/>
      <c r="T480"/>
      <c r="U480"/>
      <c r="V480"/>
      <c r="W480"/>
      <c r="X480"/>
      <c r="Y480"/>
      <c r="Z480"/>
      <c r="AA480"/>
      <c r="AB480"/>
      <c r="AC480"/>
    </row>
    <row r="481" spans="1:29" x14ac:dyDescent="0.25">
      <c r="A481"/>
      <c r="B481"/>
      <c r="C481" s="92"/>
      <c r="L481" s="92"/>
      <c r="M481" s="92"/>
      <c r="Q481" s="115"/>
      <c r="R481" s="92"/>
      <c r="S481"/>
      <c r="T481"/>
      <c r="U481"/>
      <c r="V481"/>
      <c r="W481"/>
      <c r="X481"/>
      <c r="Y481"/>
      <c r="Z481"/>
      <c r="AA481"/>
      <c r="AB481"/>
      <c r="AC481"/>
    </row>
    <row r="482" spans="1:29" x14ac:dyDescent="0.25">
      <c r="A482"/>
      <c r="B482"/>
      <c r="C482" s="92"/>
      <c r="L482" s="92"/>
      <c r="M482" s="92"/>
      <c r="Q482" s="115"/>
      <c r="R482" s="92"/>
      <c r="S482"/>
      <c r="T482"/>
      <c r="U482"/>
      <c r="V482"/>
      <c r="W482"/>
      <c r="X482"/>
      <c r="Y482"/>
      <c r="Z482"/>
      <c r="AA482"/>
      <c r="AB482"/>
      <c r="AC482"/>
    </row>
    <row r="483" spans="1:29" x14ac:dyDescent="0.25">
      <c r="A483"/>
      <c r="B483"/>
      <c r="C483" s="92"/>
      <c r="L483" s="92"/>
      <c r="M483" s="92"/>
      <c r="Q483" s="115"/>
      <c r="R483" s="92"/>
      <c r="S483"/>
      <c r="T483"/>
      <c r="U483"/>
      <c r="V483"/>
      <c r="W483"/>
      <c r="X483"/>
      <c r="Y483"/>
      <c r="Z483"/>
      <c r="AA483"/>
      <c r="AB483"/>
      <c r="AC483"/>
    </row>
    <row r="484" spans="1:29" x14ac:dyDescent="0.25">
      <c r="A484"/>
      <c r="B484"/>
      <c r="C484" s="92"/>
      <c r="L484" s="92"/>
      <c r="M484" s="92"/>
      <c r="Q484" s="115"/>
      <c r="R484" s="92"/>
      <c r="S484"/>
      <c r="T484"/>
      <c r="U484"/>
      <c r="V484"/>
      <c r="W484"/>
      <c r="X484"/>
      <c r="Y484"/>
      <c r="Z484"/>
      <c r="AA484"/>
      <c r="AB484"/>
      <c r="AC484"/>
    </row>
    <row r="485" spans="1:29" x14ac:dyDescent="0.25">
      <c r="A485"/>
      <c r="B485"/>
      <c r="C485" s="92"/>
      <c r="L485" s="92"/>
      <c r="M485" s="92"/>
      <c r="Q485" s="115"/>
      <c r="R485" s="92"/>
      <c r="S485"/>
      <c r="T485"/>
      <c r="U485"/>
      <c r="V485"/>
      <c r="W485"/>
      <c r="X485"/>
      <c r="Y485"/>
      <c r="Z485"/>
      <c r="AA485"/>
      <c r="AB485"/>
      <c r="AC485"/>
    </row>
    <row r="486" spans="1:29" x14ac:dyDescent="0.25">
      <c r="A486"/>
      <c r="B486"/>
      <c r="C486" s="92"/>
      <c r="L486" s="92"/>
      <c r="M486" s="92"/>
      <c r="Q486" s="115"/>
      <c r="R486" s="92"/>
      <c r="S486"/>
      <c r="T486"/>
      <c r="U486"/>
      <c r="V486"/>
      <c r="W486"/>
      <c r="X486"/>
      <c r="Y486"/>
      <c r="Z486"/>
      <c r="AA486"/>
      <c r="AB486"/>
      <c r="AC486"/>
    </row>
    <row r="487" spans="1:29" x14ac:dyDescent="0.25">
      <c r="A487"/>
      <c r="B487"/>
      <c r="C487" s="92"/>
      <c r="L487" s="92"/>
      <c r="M487" s="92"/>
      <c r="Q487" s="115"/>
      <c r="R487" s="92"/>
      <c r="S487"/>
      <c r="T487"/>
      <c r="U487"/>
      <c r="V487"/>
      <c r="W487"/>
      <c r="X487"/>
      <c r="Y487"/>
      <c r="Z487"/>
      <c r="AA487"/>
      <c r="AB487"/>
      <c r="AC487"/>
    </row>
    <row r="488" spans="1:29" x14ac:dyDescent="0.25">
      <c r="A488"/>
      <c r="B488"/>
      <c r="C488" s="92"/>
      <c r="L488" s="92"/>
      <c r="M488" s="92"/>
      <c r="Q488" s="115"/>
      <c r="R488" s="92"/>
      <c r="S488"/>
      <c r="T488"/>
      <c r="U488"/>
      <c r="V488"/>
      <c r="W488"/>
      <c r="X488"/>
      <c r="Y488"/>
      <c r="Z488"/>
      <c r="AA488"/>
      <c r="AB488"/>
      <c r="AC488"/>
    </row>
    <row r="489" spans="1:29" x14ac:dyDescent="0.25">
      <c r="A489"/>
      <c r="B489"/>
      <c r="C489" s="92"/>
      <c r="L489" s="92"/>
      <c r="M489" s="92"/>
      <c r="Q489" s="115"/>
      <c r="R489" s="92"/>
      <c r="S489"/>
      <c r="T489"/>
      <c r="U489"/>
      <c r="V489"/>
      <c r="W489"/>
      <c r="X489"/>
      <c r="Y489"/>
      <c r="Z489"/>
      <c r="AA489"/>
      <c r="AB489"/>
      <c r="AC489"/>
    </row>
    <row r="490" spans="1:29" x14ac:dyDescent="0.25">
      <c r="A490"/>
      <c r="B490"/>
      <c r="C490" s="92"/>
      <c r="L490" s="92"/>
      <c r="M490" s="92"/>
      <c r="Q490" s="115"/>
      <c r="R490" s="92"/>
      <c r="S490"/>
      <c r="T490"/>
      <c r="U490"/>
      <c r="V490"/>
      <c r="W490"/>
      <c r="X490"/>
      <c r="Y490"/>
      <c r="Z490"/>
      <c r="AA490"/>
      <c r="AB490"/>
      <c r="AC490"/>
    </row>
    <row r="491" spans="1:29" x14ac:dyDescent="0.25">
      <c r="A491"/>
      <c r="B491"/>
      <c r="C491" s="92"/>
      <c r="L491" s="92"/>
      <c r="M491" s="92"/>
      <c r="Q491" s="115"/>
      <c r="R491" s="92"/>
      <c r="S491"/>
      <c r="T491"/>
      <c r="U491"/>
      <c r="V491"/>
      <c r="W491"/>
      <c r="X491"/>
      <c r="Y491"/>
      <c r="Z491"/>
      <c r="AA491"/>
      <c r="AB491"/>
      <c r="AC491"/>
    </row>
    <row r="492" spans="1:29" x14ac:dyDescent="0.25">
      <c r="A492"/>
      <c r="B492"/>
      <c r="C492" s="92"/>
      <c r="L492" s="92"/>
      <c r="M492" s="92"/>
      <c r="Q492" s="115"/>
      <c r="R492" s="92"/>
      <c r="S492"/>
      <c r="T492"/>
      <c r="U492"/>
      <c r="V492"/>
      <c r="W492"/>
      <c r="X492"/>
      <c r="Y492"/>
      <c r="Z492"/>
      <c r="AA492"/>
      <c r="AB492"/>
      <c r="AC492"/>
    </row>
    <row r="493" spans="1:29" x14ac:dyDescent="0.25">
      <c r="A493"/>
      <c r="B493"/>
      <c r="C493" s="92"/>
      <c r="L493" s="92"/>
      <c r="M493" s="92"/>
      <c r="Q493" s="115"/>
      <c r="R493" s="92"/>
      <c r="S493"/>
      <c r="T493"/>
      <c r="U493"/>
      <c r="V493"/>
      <c r="W493"/>
      <c r="X493"/>
      <c r="Y493"/>
      <c r="Z493"/>
      <c r="AA493"/>
      <c r="AB493"/>
      <c r="AC493"/>
    </row>
    <row r="494" spans="1:29" x14ac:dyDescent="0.25">
      <c r="A494"/>
      <c r="B494"/>
      <c r="C494" s="92"/>
      <c r="L494" s="92"/>
      <c r="M494" s="92"/>
      <c r="Q494" s="115"/>
      <c r="R494" s="92"/>
      <c r="S494"/>
      <c r="T494"/>
      <c r="U494"/>
      <c r="V494"/>
      <c r="W494"/>
      <c r="X494"/>
      <c r="Y494"/>
      <c r="Z494"/>
      <c r="AA494"/>
      <c r="AB494"/>
      <c r="AC494"/>
    </row>
    <row r="495" spans="1:29" x14ac:dyDescent="0.25">
      <c r="A495"/>
      <c r="B495"/>
      <c r="C495" s="92"/>
      <c r="L495" s="92"/>
      <c r="M495" s="92"/>
      <c r="Q495" s="115"/>
      <c r="R495" s="92"/>
      <c r="S495"/>
      <c r="T495"/>
      <c r="U495"/>
      <c r="V495"/>
      <c r="W495"/>
      <c r="X495"/>
      <c r="Y495"/>
      <c r="Z495"/>
      <c r="AA495"/>
      <c r="AB495"/>
      <c r="AC495"/>
    </row>
    <row r="496" spans="1:29" x14ac:dyDescent="0.25">
      <c r="A496"/>
      <c r="B496"/>
      <c r="C496" s="92"/>
      <c r="L496" s="92"/>
      <c r="M496" s="92"/>
      <c r="Q496" s="115"/>
      <c r="R496" s="92"/>
      <c r="S496"/>
      <c r="T496"/>
      <c r="U496"/>
      <c r="V496"/>
      <c r="W496"/>
      <c r="X496"/>
      <c r="Y496"/>
      <c r="Z496"/>
      <c r="AA496"/>
      <c r="AB496"/>
      <c r="AC496"/>
    </row>
    <row r="497" spans="1:29" x14ac:dyDescent="0.25">
      <c r="A497"/>
      <c r="B497"/>
      <c r="C497" s="92"/>
      <c r="L497" s="92"/>
      <c r="M497" s="92"/>
      <c r="Q497" s="115"/>
      <c r="R497" s="92"/>
      <c r="S497"/>
      <c r="T497"/>
      <c r="U497"/>
      <c r="V497"/>
      <c r="W497"/>
      <c r="X497"/>
      <c r="Y497"/>
      <c r="Z497"/>
      <c r="AA497"/>
      <c r="AB497"/>
      <c r="AC497"/>
    </row>
    <row r="498" spans="1:29" x14ac:dyDescent="0.25">
      <c r="A498"/>
      <c r="B498"/>
      <c r="C498" s="92"/>
      <c r="L498" s="92"/>
      <c r="M498" s="92"/>
      <c r="Q498" s="115"/>
      <c r="R498" s="92"/>
      <c r="S498"/>
      <c r="T498"/>
      <c r="U498"/>
      <c r="V498"/>
      <c r="W498"/>
      <c r="X498"/>
      <c r="Y498"/>
      <c r="Z498"/>
      <c r="AA498"/>
      <c r="AB498"/>
      <c r="AC498"/>
    </row>
    <row r="499" spans="1:29" x14ac:dyDescent="0.25">
      <c r="A499"/>
      <c r="B499"/>
      <c r="C499" s="92"/>
      <c r="L499" s="92"/>
      <c r="M499" s="92"/>
      <c r="Q499" s="115"/>
      <c r="R499" s="92"/>
      <c r="S499"/>
      <c r="T499"/>
      <c r="U499"/>
      <c r="V499"/>
      <c r="W499"/>
      <c r="X499"/>
      <c r="Y499"/>
      <c r="Z499"/>
      <c r="AA499"/>
      <c r="AB499"/>
      <c r="AC499"/>
    </row>
    <row r="500" spans="1:29" x14ac:dyDescent="0.25">
      <c r="A500"/>
      <c r="B500"/>
      <c r="C500" s="92"/>
      <c r="L500" s="92"/>
      <c r="M500" s="92"/>
      <c r="Q500" s="115"/>
      <c r="R500" s="92"/>
      <c r="S500"/>
      <c r="T500"/>
      <c r="U500"/>
      <c r="V500"/>
      <c r="W500"/>
      <c r="X500"/>
      <c r="Y500"/>
      <c r="Z500"/>
      <c r="AA500"/>
      <c r="AB500"/>
      <c r="AC500"/>
    </row>
    <row r="501" spans="1:29" x14ac:dyDescent="0.25">
      <c r="A501"/>
      <c r="B501"/>
      <c r="C501" s="92"/>
      <c r="L501" s="92"/>
      <c r="M501" s="92"/>
      <c r="Q501" s="115"/>
      <c r="R501" s="92"/>
      <c r="S501"/>
      <c r="T501"/>
      <c r="U501"/>
      <c r="V501"/>
      <c r="W501"/>
      <c r="X501"/>
      <c r="Y501"/>
      <c r="Z501"/>
      <c r="AA501"/>
      <c r="AB501"/>
      <c r="AC501"/>
    </row>
    <row r="502" spans="1:29" x14ac:dyDescent="0.25">
      <c r="A502"/>
      <c r="B502"/>
      <c r="C502" s="92"/>
      <c r="L502" s="92"/>
      <c r="M502" s="92"/>
      <c r="Q502" s="115"/>
      <c r="R502" s="92"/>
      <c r="S502"/>
      <c r="T502"/>
      <c r="U502"/>
      <c r="V502"/>
      <c r="W502"/>
      <c r="X502"/>
      <c r="Y502"/>
      <c r="Z502"/>
      <c r="AA502"/>
      <c r="AB502"/>
      <c r="AC502"/>
    </row>
    <row r="503" spans="1:29" x14ac:dyDescent="0.25">
      <c r="A503"/>
      <c r="B503"/>
      <c r="C503" s="92"/>
      <c r="L503" s="92"/>
      <c r="M503" s="92"/>
      <c r="Q503" s="115"/>
      <c r="R503" s="92"/>
      <c r="S503"/>
      <c r="T503"/>
      <c r="U503"/>
      <c r="V503"/>
      <c r="W503"/>
      <c r="X503"/>
      <c r="Y503"/>
      <c r="Z503"/>
      <c r="AA503"/>
      <c r="AB503"/>
      <c r="AC503"/>
    </row>
    <row r="504" spans="1:29" x14ac:dyDescent="0.25">
      <c r="A504"/>
      <c r="B504"/>
      <c r="C504" s="92"/>
      <c r="L504" s="92"/>
      <c r="M504" s="92"/>
      <c r="Q504" s="115"/>
      <c r="R504" s="92"/>
      <c r="S504"/>
      <c r="T504"/>
      <c r="U504"/>
      <c r="V504"/>
      <c r="W504"/>
      <c r="X504"/>
      <c r="Y504"/>
      <c r="Z504"/>
      <c r="AA504"/>
      <c r="AB504"/>
      <c r="AC504"/>
    </row>
    <row r="505" spans="1:29" x14ac:dyDescent="0.25">
      <c r="A505"/>
      <c r="B505"/>
      <c r="C505" s="92"/>
      <c r="L505" s="92"/>
      <c r="M505" s="92"/>
      <c r="Q505" s="115"/>
      <c r="R505" s="92"/>
      <c r="S505"/>
      <c r="T505"/>
      <c r="U505"/>
      <c r="V505"/>
      <c r="W505"/>
      <c r="X505"/>
      <c r="Y505"/>
      <c r="Z505"/>
      <c r="AA505"/>
      <c r="AB505"/>
      <c r="AC505"/>
    </row>
    <row r="506" spans="1:29" x14ac:dyDescent="0.25">
      <c r="A506"/>
      <c r="B506"/>
      <c r="C506" s="92"/>
      <c r="L506" s="92"/>
      <c r="M506" s="92"/>
      <c r="Q506" s="115"/>
      <c r="R506" s="92"/>
      <c r="S506"/>
      <c r="T506"/>
      <c r="U506"/>
      <c r="V506"/>
      <c r="W506"/>
      <c r="X506"/>
      <c r="Y506"/>
      <c r="Z506"/>
      <c r="AA506"/>
      <c r="AB506"/>
      <c r="AC506"/>
    </row>
    <row r="507" spans="1:29" x14ac:dyDescent="0.25">
      <c r="A507"/>
      <c r="B507"/>
      <c r="C507" s="92"/>
      <c r="L507" s="92"/>
      <c r="M507" s="92"/>
      <c r="Q507" s="115"/>
      <c r="R507" s="92"/>
      <c r="S507"/>
      <c r="T507"/>
      <c r="U507"/>
      <c r="V507"/>
      <c r="W507"/>
      <c r="X507"/>
      <c r="Y507"/>
      <c r="Z507"/>
      <c r="AA507"/>
      <c r="AB507"/>
      <c r="AC507"/>
    </row>
    <row r="508" spans="1:29" x14ac:dyDescent="0.25">
      <c r="A508"/>
      <c r="B508"/>
      <c r="C508" s="92"/>
      <c r="L508" s="92"/>
      <c r="M508" s="92"/>
      <c r="Q508" s="115"/>
      <c r="R508" s="92"/>
      <c r="S508"/>
      <c r="T508"/>
      <c r="U508"/>
      <c r="V508"/>
      <c r="W508"/>
      <c r="X508"/>
      <c r="Y508"/>
      <c r="Z508"/>
      <c r="AA508"/>
      <c r="AB508"/>
      <c r="AC508"/>
    </row>
    <row r="509" spans="1:29" x14ac:dyDescent="0.25">
      <c r="A509"/>
      <c r="B509"/>
      <c r="C509" s="92"/>
      <c r="L509" s="92"/>
      <c r="M509" s="92"/>
      <c r="Q509" s="115"/>
      <c r="R509" s="92"/>
      <c r="S509"/>
      <c r="T509"/>
      <c r="U509"/>
      <c r="V509"/>
      <c r="W509"/>
      <c r="X509"/>
      <c r="Y509"/>
      <c r="Z509"/>
      <c r="AA509"/>
      <c r="AB509"/>
      <c r="AC509"/>
    </row>
    <row r="510" spans="1:29" x14ac:dyDescent="0.25">
      <c r="A510"/>
      <c r="B510"/>
      <c r="C510" s="92"/>
      <c r="L510" s="92"/>
      <c r="M510" s="92"/>
      <c r="Q510" s="115"/>
      <c r="R510" s="92"/>
      <c r="S510"/>
      <c r="T510"/>
      <c r="U510"/>
      <c r="V510"/>
      <c r="W510"/>
      <c r="X510"/>
      <c r="Y510"/>
      <c r="Z510"/>
      <c r="AA510"/>
      <c r="AB510"/>
      <c r="AC510"/>
    </row>
    <row r="511" spans="1:29" x14ac:dyDescent="0.25">
      <c r="A511"/>
      <c r="B511"/>
      <c r="C511" s="92"/>
      <c r="L511" s="92"/>
      <c r="M511" s="92"/>
      <c r="Q511" s="115"/>
      <c r="R511" s="92"/>
      <c r="S511"/>
      <c r="T511"/>
      <c r="U511"/>
      <c r="V511"/>
      <c r="W511"/>
      <c r="X511"/>
      <c r="Y511"/>
      <c r="Z511"/>
      <c r="AA511"/>
      <c r="AB511"/>
      <c r="AC511"/>
    </row>
    <row r="512" spans="1:29" x14ac:dyDescent="0.25">
      <c r="A512"/>
      <c r="B512"/>
      <c r="C512" s="92"/>
      <c r="L512" s="92"/>
      <c r="M512" s="92"/>
      <c r="Q512" s="115"/>
      <c r="R512" s="92"/>
      <c r="S512"/>
      <c r="T512"/>
      <c r="U512"/>
      <c r="V512"/>
      <c r="W512"/>
      <c r="X512"/>
      <c r="Y512"/>
      <c r="Z512"/>
      <c r="AA512"/>
      <c r="AB512"/>
      <c r="AC512"/>
    </row>
    <row r="513" spans="1:29" x14ac:dyDescent="0.25">
      <c r="A513"/>
      <c r="B513"/>
      <c r="C513" s="92"/>
      <c r="L513" s="92"/>
      <c r="M513" s="92"/>
      <c r="Q513" s="115"/>
      <c r="R513" s="92"/>
      <c r="S513"/>
      <c r="T513"/>
      <c r="U513"/>
      <c r="V513"/>
      <c r="W513"/>
      <c r="X513"/>
      <c r="Y513"/>
      <c r="Z513"/>
      <c r="AA513"/>
      <c r="AB513"/>
      <c r="AC513"/>
    </row>
    <row r="514" spans="1:29" x14ac:dyDescent="0.25">
      <c r="A514"/>
      <c r="B514"/>
      <c r="C514" s="92"/>
      <c r="L514" s="92"/>
      <c r="M514" s="92"/>
      <c r="Q514" s="115"/>
      <c r="R514" s="92"/>
      <c r="S514"/>
      <c r="T514"/>
      <c r="U514"/>
      <c r="V514"/>
      <c r="W514"/>
      <c r="X514"/>
      <c r="Y514"/>
      <c r="Z514"/>
      <c r="AA514"/>
      <c r="AB514"/>
      <c r="AC514"/>
    </row>
    <row r="515" spans="1:29" x14ac:dyDescent="0.25">
      <c r="A515"/>
      <c r="B515"/>
      <c r="C515" s="92"/>
      <c r="L515" s="92"/>
      <c r="M515" s="92"/>
      <c r="Q515" s="115"/>
      <c r="R515" s="92"/>
      <c r="S515"/>
      <c r="T515"/>
      <c r="U515"/>
      <c r="V515"/>
      <c r="W515"/>
      <c r="X515"/>
      <c r="Y515"/>
      <c r="Z515"/>
      <c r="AA515"/>
      <c r="AB515"/>
      <c r="AC515"/>
    </row>
    <row r="516" spans="1:29" x14ac:dyDescent="0.25">
      <c r="A516"/>
      <c r="B516"/>
      <c r="C516" s="92"/>
      <c r="L516" s="92"/>
      <c r="M516" s="92"/>
      <c r="Q516" s="115"/>
      <c r="R516" s="92"/>
      <c r="S516"/>
      <c r="T516"/>
      <c r="U516"/>
      <c r="V516"/>
      <c r="W516"/>
      <c r="X516"/>
      <c r="Y516"/>
      <c r="Z516"/>
      <c r="AA516"/>
      <c r="AB516"/>
      <c r="AC516"/>
    </row>
    <row r="517" spans="1:29" x14ac:dyDescent="0.25">
      <c r="A517"/>
      <c r="B517"/>
      <c r="C517" s="92"/>
      <c r="L517" s="92"/>
      <c r="M517" s="92"/>
      <c r="Q517" s="115"/>
      <c r="R517" s="92"/>
      <c r="S517"/>
      <c r="T517"/>
      <c r="U517"/>
      <c r="V517"/>
      <c r="W517"/>
      <c r="X517"/>
      <c r="Y517"/>
      <c r="Z517"/>
      <c r="AA517"/>
      <c r="AB517"/>
      <c r="AC517"/>
    </row>
    <row r="518" spans="1:29" x14ac:dyDescent="0.25">
      <c r="A518"/>
      <c r="B518"/>
      <c r="C518" s="92"/>
      <c r="L518" s="92"/>
      <c r="M518" s="92"/>
      <c r="Q518" s="115"/>
      <c r="R518" s="92"/>
      <c r="S518"/>
      <c r="T518"/>
      <c r="U518"/>
      <c r="V518"/>
      <c r="W518"/>
      <c r="X518"/>
      <c r="Y518"/>
      <c r="Z518"/>
      <c r="AA518"/>
      <c r="AB518"/>
      <c r="AC518"/>
    </row>
    <row r="519" spans="1:29" x14ac:dyDescent="0.25">
      <c r="A519"/>
      <c r="B519"/>
      <c r="C519" s="92"/>
      <c r="L519" s="92"/>
      <c r="M519" s="92"/>
      <c r="Q519" s="115"/>
      <c r="R519" s="92"/>
      <c r="S519"/>
      <c r="T519"/>
      <c r="U519"/>
      <c r="V519"/>
      <c r="W519"/>
      <c r="X519"/>
      <c r="Y519"/>
      <c r="Z519"/>
      <c r="AA519"/>
      <c r="AB519"/>
      <c r="AC519"/>
    </row>
    <row r="520" spans="1:29" x14ac:dyDescent="0.25">
      <c r="A520"/>
      <c r="B520"/>
      <c r="C520" s="92"/>
      <c r="L520" s="92"/>
      <c r="M520" s="92"/>
      <c r="Q520" s="115"/>
      <c r="R520" s="92"/>
      <c r="S520"/>
      <c r="T520"/>
      <c r="U520"/>
      <c r="V520"/>
      <c r="W520"/>
      <c r="X520"/>
      <c r="Y520"/>
      <c r="Z520"/>
      <c r="AA520"/>
      <c r="AB520"/>
      <c r="AC520"/>
    </row>
    <row r="521" spans="1:29" x14ac:dyDescent="0.25">
      <c r="A521"/>
      <c r="B521"/>
      <c r="C521" s="92"/>
      <c r="L521" s="92"/>
      <c r="M521" s="92"/>
      <c r="Q521" s="115"/>
      <c r="R521" s="92"/>
      <c r="S521"/>
      <c r="T521"/>
      <c r="U521"/>
      <c r="V521"/>
      <c r="W521"/>
      <c r="X521"/>
      <c r="Y521"/>
      <c r="Z521"/>
      <c r="AA521"/>
      <c r="AB521"/>
      <c r="AC521"/>
    </row>
    <row r="522" spans="1:29" x14ac:dyDescent="0.25">
      <c r="A522"/>
      <c r="B522"/>
      <c r="C522" s="92"/>
      <c r="L522" s="92"/>
      <c r="M522" s="92"/>
      <c r="Q522" s="115"/>
      <c r="R522" s="92"/>
      <c r="S522"/>
      <c r="T522"/>
      <c r="U522"/>
      <c r="V522"/>
      <c r="W522"/>
      <c r="X522"/>
      <c r="Y522"/>
      <c r="Z522"/>
      <c r="AA522"/>
      <c r="AB522"/>
      <c r="AC522"/>
    </row>
    <row r="523" spans="1:29" x14ac:dyDescent="0.25">
      <c r="A523"/>
      <c r="B523"/>
      <c r="C523" s="92"/>
      <c r="L523" s="92"/>
      <c r="M523" s="92"/>
      <c r="Q523" s="115"/>
      <c r="R523" s="92"/>
      <c r="S523"/>
      <c r="T523"/>
      <c r="U523"/>
      <c r="V523"/>
      <c r="W523"/>
      <c r="X523"/>
      <c r="Y523"/>
      <c r="Z523"/>
      <c r="AA523"/>
      <c r="AB523"/>
      <c r="AC523"/>
    </row>
    <row r="524" spans="1:29" x14ac:dyDescent="0.25">
      <c r="A524"/>
      <c r="B524"/>
      <c r="C524" s="92"/>
      <c r="L524" s="92"/>
      <c r="M524" s="92"/>
      <c r="Q524" s="115"/>
      <c r="R524" s="92"/>
      <c r="S524"/>
      <c r="T524"/>
      <c r="U524"/>
      <c r="V524"/>
      <c r="W524"/>
      <c r="X524"/>
      <c r="Y524"/>
      <c r="Z524"/>
      <c r="AA524"/>
      <c r="AB524"/>
      <c r="AC524"/>
    </row>
    <row r="525" spans="1:29" x14ac:dyDescent="0.25">
      <c r="A525"/>
      <c r="B525"/>
      <c r="C525" s="92"/>
      <c r="L525" s="92"/>
      <c r="M525" s="92"/>
      <c r="Q525" s="115"/>
      <c r="R525" s="92"/>
      <c r="S525"/>
      <c r="T525"/>
      <c r="U525"/>
      <c r="V525"/>
      <c r="W525"/>
      <c r="X525"/>
      <c r="Y525"/>
      <c r="Z525"/>
      <c r="AA525"/>
      <c r="AB525"/>
      <c r="AC525"/>
    </row>
    <row r="526" spans="1:29" x14ac:dyDescent="0.25">
      <c r="A526"/>
      <c r="B526"/>
      <c r="C526" s="92"/>
      <c r="L526" s="92"/>
      <c r="M526" s="92"/>
      <c r="Q526" s="115"/>
      <c r="R526" s="92"/>
      <c r="S526"/>
      <c r="T526"/>
      <c r="U526"/>
      <c r="V526"/>
      <c r="W526"/>
      <c r="X526"/>
      <c r="Y526"/>
      <c r="Z526"/>
      <c r="AA526"/>
      <c r="AB526"/>
      <c r="AC526"/>
    </row>
    <row r="527" spans="1:29" x14ac:dyDescent="0.25">
      <c r="A527"/>
      <c r="B527"/>
      <c r="C527" s="92"/>
      <c r="L527" s="92"/>
      <c r="M527" s="92"/>
      <c r="Q527" s="115"/>
      <c r="R527" s="92"/>
      <c r="S527"/>
      <c r="T527"/>
      <c r="U527"/>
      <c r="V527"/>
      <c r="W527"/>
      <c r="X527"/>
      <c r="Y527"/>
      <c r="Z527"/>
      <c r="AA527"/>
      <c r="AB527"/>
      <c r="AC527"/>
    </row>
    <row r="528" spans="1:29" x14ac:dyDescent="0.25">
      <c r="A528"/>
      <c r="B528"/>
      <c r="C528" s="92"/>
      <c r="L528" s="92"/>
      <c r="M528" s="92"/>
      <c r="Q528" s="115"/>
      <c r="R528" s="92"/>
      <c r="S528"/>
      <c r="T528"/>
      <c r="U528"/>
      <c r="V528"/>
      <c r="W528"/>
      <c r="X528"/>
      <c r="Y528"/>
      <c r="Z528"/>
      <c r="AA528"/>
      <c r="AB528"/>
      <c r="AC528"/>
    </row>
    <row r="529" spans="1:29" x14ac:dyDescent="0.25">
      <c r="A529"/>
      <c r="B529"/>
      <c r="C529" s="92"/>
      <c r="L529" s="92"/>
      <c r="M529" s="92"/>
      <c r="Q529" s="115"/>
      <c r="R529" s="92"/>
      <c r="S529"/>
      <c r="T529"/>
      <c r="U529"/>
      <c r="V529"/>
      <c r="W529"/>
      <c r="X529"/>
      <c r="Y529"/>
      <c r="Z529"/>
      <c r="AA529"/>
      <c r="AB529"/>
      <c r="AC529"/>
    </row>
    <row r="530" spans="1:29" x14ac:dyDescent="0.25">
      <c r="A530"/>
      <c r="B530"/>
      <c r="C530" s="92"/>
      <c r="L530" s="92"/>
      <c r="M530" s="92"/>
      <c r="Q530" s="115"/>
      <c r="R530" s="92"/>
      <c r="S530"/>
      <c r="T530"/>
      <c r="U530"/>
      <c r="V530"/>
      <c r="W530"/>
      <c r="X530"/>
      <c r="Y530"/>
      <c r="Z530"/>
      <c r="AA530"/>
      <c r="AB530"/>
      <c r="AC530"/>
    </row>
    <row r="531" spans="1:29" x14ac:dyDescent="0.25">
      <c r="A531"/>
      <c r="B531"/>
      <c r="C531" s="92"/>
      <c r="L531" s="92"/>
      <c r="M531" s="92"/>
      <c r="Q531" s="115"/>
      <c r="R531" s="92"/>
      <c r="S531"/>
      <c r="T531"/>
      <c r="U531"/>
      <c r="V531"/>
      <c r="W531"/>
      <c r="X531"/>
      <c r="Y531"/>
      <c r="Z531"/>
      <c r="AA531"/>
      <c r="AB531"/>
      <c r="AC531"/>
    </row>
    <row r="532" spans="1:29" x14ac:dyDescent="0.25">
      <c r="A532"/>
      <c r="B532"/>
      <c r="C532" s="92"/>
      <c r="L532" s="92"/>
      <c r="M532" s="92"/>
      <c r="Q532" s="115"/>
      <c r="R532" s="92"/>
      <c r="S532"/>
      <c r="T532"/>
      <c r="U532"/>
      <c r="V532"/>
      <c r="W532"/>
      <c r="X532"/>
      <c r="Y532"/>
      <c r="Z532"/>
      <c r="AA532"/>
      <c r="AB532"/>
      <c r="AC532"/>
    </row>
    <row r="533" spans="1:29" x14ac:dyDescent="0.25">
      <c r="A533"/>
      <c r="B533"/>
      <c r="C533" s="92"/>
      <c r="L533" s="92"/>
      <c r="M533" s="92"/>
      <c r="Q533" s="115"/>
      <c r="R533" s="92"/>
      <c r="S533"/>
      <c r="T533"/>
      <c r="U533"/>
      <c r="V533"/>
      <c r="W533"/>
      <c r="X533"/>
      <c r="Y533"/>
      <c r="Z533"/>
      <c r="AA533"/>
      <c r="AB533"/>
      <c r="AC533"/>
    </row>
    <row r="534" spans="1:29" x14ac:dyDescent="0.25">
      <c r="A534"/>
      <c r="B534"/>
      <c r="C534" s="92"/>
      <c r="L534" s="92"/>
      <c r="M534" s="92"/>
      <c r="Q534" s="115"/>
      <c r="R534" s="92"/>
      <c r="S534"/>
      <c r="T534"/>
      <c r="U534"/>
      <c r="V534"/>
      <c r="W534"/>
      <c r="X534"/>
      <c r="Y534"/>
      <c r="Z534"/>
      <c r="AA534"/>
      <c r="AB534"/>
      <c r="AC534"/>
    </row>
    <row r="535" spans="1:29" x14ac:dyDescent="0.25">
      <c r="A535"/>
      <c r="B535"/>
      <c r="C535" s="92"/>
      <c r="L535" s="92"/>
      <c r="M535" s="92"/>
      <c r="Q535" s="115"/>
      <c r="R535" s="92"/>
      <c r="S535"/>
      <c r="T535"/>
      <c r="U535"/>
      <c r="V535"/>
      <c r="W535"/>
      <c r="X535"/>
      <c r="Y535"/>
      <c r="Z535"/>
      <c r="AA535"/>
      <c r="AB535"/>
      <c r="AC535"/>
    </row>
    <row r="536" spans="1:29" x14ac:dyDescent="0.25">
      <c r="A536"/>
      <c r="B536"/>
      <c r="C536" s="92"/>
      <c r="L536" s="92"/>
      <c r="M536" s="92"/>
      <c r="Q536" s="115"/>
      <c r="R536" s="92"/>
      <c r="S536"/>
      <c r="T536"/>
      <c r="U536"/>
      <c r="V536"/>
      <c r="W536"/>
      <c r="X536"/>
      <c r="Y536"/>
      <c r="Z536"/>
      <c r="AA536"/>
      <c r="AB536"/>
      <c r="AC536"/>
    </row>
    <row r="537" spans="1:29" x14ac:dyDescent="0.25">
      <c r="A537"/>
      <c r="B537"/>
      <c r="C537" s="92"/>
      <c r="L537" s="92"/>
      <c r="M537" s="92"/>
      <c r="Q537" s="115"/>
      <c r="R537" s="92"/>
      <c r="S537"/>
      <c r="T537"/>
      <c r="U537"/>
      <c r="V537"/>
      <c r="W537"/>
      <c r="X537"/>
      <c r="Y537"/>
      <c r="Z537"/>
      <c r="AA537"/>
      <c r="AB537"/>
      <c r="AC537"/>
    </row>
    <row r="538" spans="1:29" x14ac:dyDescent="0.25">
      <c r="A538"/>
      <c r="B538"/>
      <c r="C538" s="92"/>
      <c r="L538" s="92"/>
      <c r="M538" s="92"/>
      <c r="Q538" s="115"/>
      <c r="R538" s="92"/>
      <c r="S538"/>
      <c r="T538"/>
      <c r="U538"/>
      <c r="V538"/>
      <c r="W538"/>
      <c r="X538"/>
      <c r="Y538"/>
      <c r="Z538"/>
      <c r="AA538"/>
      <c r="AB538"/>
      <c r="AC538"/>
    </row>
    <row r="539" spans="1:29" x14ac:dyDescent="0.25">
      <c r="A539"/>
      <c r="B539"/>
      <c r="C539" s="92"/>
      <c r="L539" s="92"/>
      <c r="M539" s="92"/>
      <c r="Q539" s="115"/>
      <c r="R539" s="92"/>
      <c r="S539"/>
      <c r="T539"/>
      <c r="U539"/>
      <c r="V539"/>
      <c r="W539"/>
      <c r="X539"/>
      <c r="Y539"/>
      <c r="Z539"/>
      <c r="AA539"/>
      <c r="AB539"/>
      <c r="AC539"/>
    </row>
    <row r="540" spans="1:29" x14ac:dyDescent="0.25">
      <c r="A540"/>
      <c r="B540"/>
      <c r="C540" s="92"/>
      <c r="L540" s="92"/>
      <c r="M540" s="92"/>
      <c r="Q540" s="115"/>
      <c r="R540" s="92"/>
      <c r="S540"/>
      <c r="T540"/>
      <c r="U540"/>
      <c r="V540"/>
      <c r="W540"/>
      <c r="X540"/>
      <c r="Y540"/>
      <c r="Z540"/>
      <c r="AA540"/>
      <c r="AB540"/>
      <c r="AC540"/>
    </row>
    <row r="541" spans="1:29" x14ac:dyDescent="0.25">
      <c r="A541"/>
      <c r="B541"/>
      <c r="C541" s="92"/>
      <c r="L541" s="92"/>
      <c r="M541" s="92"/>
      <c r="Q541" s="115"/>
      <c r="R541" s="92"/>
      <c r="S541"/>
      <c r="T541"/>
      <c r="U541"/>
      <c r="V541"/>
      <c r="W541"/>
      <c r="X541"/>
      <c r="Y541"/>
      <c r="Z541"/>
      <c r="AA541"/>
      <c r="AB541"/>
      <c r="AC541"/>
    </row>
    <row r="542" spans="1:29" x14ac:dyDescent="0.25">
      <c r="A542"/>
      <c r="B542"/>
      <c r="C542" s="92"/>
      <c r="L542" s="92"/>
      <c r="M542" s="92"/>
      <c r="Q542" s="115"/>
      <c r="R542" s="92"/>
      <c r="S542"/>
      <c r="T542"/>
      <c r="U542"/>
      <c r="V542"/>
      <c r="W542"/>
      <c r="X542"/>
      <c r="Y542"/>
      <c r="Z542"/>
      <c r="AA542"/>
      <c r="AB542"/>
      <c r="AC542"/>
    </row>
    <row r="543" spans="1:29" x14ac:dyDescent="0.25">
      <c r="A543"/>
      <c r="B543"/>
      <c r="C543" s="92"/>
      <c r="L543" s="92"/>
      <c r="M543" s="92"/>
      <c r="Q543" s="115"/>
      <c r="R543" s="92"/>
      <c r="S543"/>
      <c r="T543"/>
      <c r="U543"/>
      <c r="V543"/>
      <c r="W543"/>
      <c r="X543"/>
      <c r="Y543"/>
      <c r="Z543"/>
      <c r="AA543"/>
      <c r="AB543"/>
      <c r="AC543"/>
    </row>
    <row r="544" spans="1:29" x14ac:dyDescent="0.25">
      <c r="A544"/>
      <c r="B544"/>
      <c r="C544" s="92"/>
      <c r="L544" s="92"/>
      <c r="M544" s="92"/>
      <c r="Q544" s="115"/>
      <c r="R544" s="92"/>
      <c r="S544"/>
      <c r="T544"/>
      <c r="U544"/>
      <c r="V544"/>
      <c r="W544"/>
      <c r="X544"/>
      <c r="Y544"/>
      <c r="Z544"/>
      <c r="AA544"/>
      <c r="AB544"/>
      <c r="AC544"/>
    </row>
    <row r="545" spans="1:29" x14ac:dyDescent="0.25">
      <c r="A545"/>
      <c r="B545"/>
      <c r="C545" s="92"/>
      <c r="L545" s="92"/>
      <c r="M545" s="92"/>
      <c r="Q545" s="115"/>
      <c r="R545" s="92"/>
      <c r="S545"/>
      <c r="T545"/>
      <c r="U545"/>
      <c r="V545"/>
      <c r="W545"/>
      <c r="X545"/>
      <c r="Y545"/>
      <c r="Z545"/>
      <c r="AA545"/>
      <c r="AB545"/>
      <c r="AC545"/>
    </row>
    <row r="546" spans="1:29" x14ac:dyDescent="0.25">
      <c r="A546"/>
      <c r="B546"/>
      <c r="C546" s="92"/>
      <c r="L546" s="92"/>
      <c r="M546" s="92"/>
      <c r="Q546" s="115"/>
      <c r="R546" s="92"/>
      <c r="S546"/>
      <c r="T546"/>
      <c r="U546"/>
      <c r="V546"/>
      <c r="W546"/>
      <c r="X546"/>
      <c r="Y546"/>
      <c r="Z546"/>
      <c r="AA546"/>
      <c r="AB546"/>
      <c r="AC546"/>
    </row>
    <row r="547" spans="1:29" x14ac:dyDescent="0.25">
      <c r="A547"/>
      <c r="B547"/>
      <c r="C547" s="92"/>
      <c r="L547" s="92"/>
      <c r="M547" s="92"/>
      <c r="Q547" s="115"/>
      <c r="R547" s="92"/>
      <c r="S547"/>
      <c r="T547"/>
      <c r="U547"/>
      <c r="V547"/>
      <c r="W547"/>
      <c r="X547"/>
      <c r="Y547"/>
      <c r="Z547"/>
      <c r="AA547"/>
      <c r="AB547"/>
      <c r="AC547"/>
    </row>
    <row r="548" spans="1:29" x14ac:dyDescent="0.25">
      <c r="A548"/>
      <c r="B548"/>
      <c r="C548" s="92"/>
      <c r="L548" s="92"/>
      <c r="M548" s="92"/>
      <c r="Q548" s="115"/>
      <c r="R548" s="92"/>
      <c r="S548"/>
      <c r="T548"/>
      <c r="U548"/>
      <c r="V548"/>
      <c r="W548"/>
      <c r="X548"/>
      <c r="Y548"/>
      <c r="Z548"/>
      <c r="AA548"/>
      <c r="AB548"/>
      <c r="AC548"/>
    </row>
    <row r="549" spans="1:29" x14ac:dyDescent="0.25">
      <c r="A549"/>
      <c r="B549"/>
      <c r="C549" s="92"/>
      <c r="L549" s="92"/>
      <c r="M549" s="92"/>
      <c r="Q549" s="115"/>
      <c r="R549" s="92"/>
      <c r="S549"/>
      <c r="T549"/>
      <c r="U549"/>
      <c r="V549"/>
      <c r="W549"/>
      <c r="X549"/>
      <c r="Y549"/>
      <c r="Z549"/>
      <c r="AA549"/>
      <c r="AB549"/>
      <c r="AC549"/>
    </row>
    <row r="550" spans="1:29" x14ac:dyDescent="0.25">
      <c r="A550"/>
      <c r="B550"/>
      <c r="C550" s="92"/>
      <c r="L550" s="92"/>
      <c r="M550" s="92"/>
      <c r="Q550" s="115"/>
      <c r="R550" s="92"/>
      <c r="S550"/>
      <c r="T550"/>
      <c r="U550"/>
      <c r="V550"/>
      <c r="W550"/>
      <c r="X550"/>
      <c r="Y550"/>
      <c r="Z550"/>
      <c r="AA550"/>
      <c r="AB550"/>
      <c r="AC550"/>
    </row>
    <row r="551" spans="1:29" x14ac:dyDescent="0.25">
      <c r="A551"/>
      <c r="B551"/>
      <c r="C551" s="92"/>
      <c r="L551" s="92"/>
      <c r="M551" s="92"/>
      <c r="Q551" s="115"/>
      <c r="R551" s="92"/>
      <c r="S551"/>
      <c r="T551"/>
      <c r="U551"/>
      <c r="V551"/>
      <c r="W551"/>
      <c r="X551"/>
      <c r="Y551"/>
      <c r="Z551"/>
      <c r="AA551"/>
      <c r="AB551"/>
      <c r="AC551"/>
    </row>
    <row r="552" spans="1:29" x14ac:dyDescent="0.25">
      <c r="A552"/>
      <c r="B552"/>
      <c r="C552" s="92"/>
      <c r="L552" s="92"/>
      <c r="M552" s="92"/>
      <c r="Q552" s="115"/>
      <c r="R552" s="92"/>
      <c r="S552"/>
      <c r="T552"/>
      <c r="U552"/>
      <c r="V552"/>
      <c r="W552"/>
      <c r="X552"/>
      <c r="Y552"/>
      <c r="Z552"/>
      <c r="AA552"/>
      <c r="AB552"/>
      <c r="AC552"/>
    </row>
    <row r="553" spans="1:29" x14ac:dyDescent="0.25">
      <c r="A553"/>
      <c r="B553"/>
      <c r="C553" s="92"/>
      <c r="L553" s="92"/>
      <c r="M553" s="92"/>
      <c r="Q553" s="115"/>
      <c r="R553" s="92"/>
      <c r="S553"/>
      <c r="T553"/>
      <c r="U553"/>
      <c r="V553"/>
      <c r="W553"/>
      <c r="X553"/>
      <c r="Y553"/>
      <c r="Z553"/>
      <c r="AA553"/>
      <c r="AB553"/>
      <c r="AC553"/>
    </row>
    <row r="554" spans="1:29" x14ac:dyDescent="0.25">
      <c r="A554"/>
      <c r="B554"/>
      <c r="C554" s="92"/>
      <c r="L554" s="92"/>
      <c r="M554" s="92"/>
      <c r="Q554" s="115"/>
      <c r="R554" s="92"/>
      <c r="S554"/>
      <c r="T554"/>
      <c r="U554"/>
      <c r="V554"/>
      <c r="W554"/>
      <c r="X554"/>
      <c r="Y554"/>
      <c r="Z554"/>
      <c r="AA554"/>
      <c r="AB554"/>
      <c r="AC554"/>
    </row>
    <row r="555" spans="1:29" x14ac:dyDescent="0.25">
      <c r="A555"/>
      <c r="B555"/>
      <c r="C555" s="92"/>
      <c r="L555" s="92"/>
      <c r="M555" s="92"/>
      <c r="Q555" s="115"/>
      <c r="R555" s="92"/>
      <c r="S555"/>
      <c r="T555"/>
      <c r="U555"/>
      <c r="V555"/>
      <c r="W555"/>
      <c r="X555"/>
      <c r="Y555"/>
      <c r="Z555"/>
      <c r="AA555"/>
      <c r="AB555"/>
      <c r="AC555"/>
    </row>
    <row r="556" spans="1:29" x14ac:dyDescent="0.25">
      <c r="A556"/>
      <c r="B556"/>
      <c r="C556" s="92"/>
      <c r="L556" s="92"/>
      <c r="M556" s="92"/>
      <c r="Q556" s="115"/>
      <c r="R556" s="92"/>
      <c r="S556"/>
      <c r="T556"/>
      <c r="U556"/>
      <c r="V556"/>
      <c r="W556"/>
      <c r="X556"/>
      <c r="Y556"/>
      <c r="Z556"/>
      <c r="AA556"/>
      <c r="AB556"/>
      <c r="AC556"/>
    </row>
    <row r="557" spans="1:29" x14ac:dyDescent="0.25">
      <c r="A557"/>
      <c r="B557"/>
      <c r="C557" s="92"/>
      <c r="L557" s="92"/>
      <c r="M557" s="92"/>
      <c r="Q557" s="115"/>
      <c r="R557" s="92"/>
      <c r="S557"/>
      <c r="T557"/>
      <c r="U557"/>
      <c r="V557"/>
      <c r="W557"/>
      <c r="X557"/>
      <c r="Y557"/>
      <c r="Z557"/>
      <c r="AA557"/>
      <c r="AB557"/>
      <c r="AC557"/>
    </row>
    <row r="558" spans="1:29" x14ac:dyDescent="0.25">
      <c r="A558"/>
      <c r="B558"/>
      <c r="C558" s="92"/>
      <c r="L558" s="92"/>
      <c r="M558" s="92"/>
      <c r="Q558" s="115"/>
      <c r="R558" s="92"/>
      <c r="S558"/>
      <c r="T558"/>
      <c r="U558"/>
      <c r="V558"/>
      <c r="W558"/>
      <c r="X558"/>
      <c r="Y558"/>
      <c r="Z558"/>
      <c r="AA558"/>
      <c r="AB558"/>
      <c r="AC558"/>
    </row>
    <row r="559" spans="1:29" x14ac:dyDescent="0.25">
      <c r="A559"/>
      <c r="B559"/>
      <c r="C559" s="92"/>
      <c r="L559" s="92"/>
      <c r="M559" s="92"/>
      <c r="Q559" s="115"/>
      <c r="R559" s="92"/>
      <c r="S559"/>
      <c r="T559"/>
      <c r="U559"/>
      <c r="V559"/>
      <c r="W559"/>
      <c r="X559"/>
      <c r="Y559"/>
      <c r="Z559"/>
      <c r="AA559"/>
      <c r="AB559"/>
      <c r="AC559"/>
    </row>
    <row r="560" spans="1:29" x14ac:dyDescent="0.25">
      <c r="A560"/>
      <c r="B560"/>
      <c r="C560" s="92"/>
      <c r="L560" s="92"/>
      <c r="M560" s="92"/>
      <c r="Q560" s="115"/>
      <c r="R560" s="92"/>
      <c r="S560"/>
      <c r="T560"/>
      <c r="U560"/>
      <c r="V560"/>
      <c r="W560"/>
      <c r="X560"/>
      <c r="Y560"/>
      <c r="Z560"/>
      <c r="AA560"/>
      <c r="AB560"/>
      <c r="AC560"/>
    </row>
    <row r="561" spans="1:29" x14ac:dyDescent="0.25">
      <c r="A561"/>
      <c r="B561"/>
      <c r="C561" s="92"/>
      <c r="L561" s="92"/>
      <c r="M561" s="92"/>
      <c r="Q561" s="115"/>
      <c r="R561" s="92"/>
      <c r="S561"/>
      <c r="T561"/>
      <c r="U561"/>
      <c r="V561"/>
      <c r="W561"/>
      <c r="X561"/>
      <c r="Y561"/>
      <c r="Z561"/>
      <c r="AA561"/>
      <c r="AB561"/>
      <c r="AC561"/>
    </row>
    <row r="562" spans="1:29" x14ac:dyDescent="0.25">
      <c r="A562"/>
      <c r="B562"/>
      <c r="C562" s="92"/>
      <c r="L562" s="92"/>
      <c r="M562" s="92"/>
      <c r="Q562" s="115"/>
      <c r="R562" s="92"/>
      <c r="S562"/>
      <c r="T562"/>
      <c r="U562"/>
      <c r="V562"/>
      <c r="W562"/>
      <c r="X562"/>
      <c r="Y562"/>
      <c r="Z562"/>
      <c r="AA562"/>
      <c r="AB562"/>
      <c r="AC562"/>
    </row>
    <row r="563" spans="1:29" x14ac:dyDescent="0.25">
      <c r="A563"/>
      <c r="B563"/>
      <c r="C563" s="92"/>
      <c r="L563" s="92"/>
      <c r="M563" s="92"/>
      <c r="Q563" s="115"/>
      <c r="R563" s="92"/>
      <c r="S563"/>
      <c r="T563"/>
      <c r="U563"/>
      <c r="V563"/>
      <c r="W563"/>
      <c r="X563"/>
      <c r="Y563"/>
      <c r="Z563"/>
      <c r="AA563"/>
      <c r="AB563"/>
      <c r="AC563"/>
    </row>
    <row r="564" spans="1:29" x14ac:dyDescent="0.25">
      <c r="A564"/>
      <c r="B564"/>
      <c r="C564" s="92"/>
      <c r="L564" s="92"/>
      <c r="M564" s="92"/>
      <c r="Q564" s="115"/>
      <c r="R564" s="92"/>
      <c r="S564"/>
      <c r="T564"/>
      <c r="U564"/>
      <c r="V564"/>
      <c r="W564"/>
      <c r="X564"/>
      <c r="Y564"/>
      <c r="Z564"/>
      <c r="AA564"/>
      <c r="AB564"/>
      <c r="AC564"/>
    </row>
    <row r="565" spans="1:29" x14ac:dyDescent="0.25">
      <c r="A565"/>
      <c r="B565"/>
      <c r="C565" s="92"/>
      <c r="L565" s="92"/>
      <c r="M565" s="92"/>
      <c r="Q565" s="115"/>
      <c r="R565" s="92"/>
      <c r="S565"/>
      <c r="T565"/>
      <c r="U565"/>
      <c r="V565"/>
      <c r="W565"/>
      <c r="X565"/>
      <c r="Y565"/>
      <c r="Z565"/>
      <c r="AA565"/>
      <c r="AB565"/>
      <c r="AC565"/>
    </row>
    <row r="566" spans="1:29" x14ac:dyDescent="0.25">
      <c r="A566"/>
      <c r="B566"/>
      <c r="C566" s="92"/>
      <c r="L566" s="92"/>
      <c r="M566" s="92"/>
      <c r="Q566" s="115"/>
      <c r="R566" s="92"/>
      <c r="S566"/>
      <c r="T566"/>
      <c r="U566"/>
      <c r="V566"/>
      <c r="W566"/>
      <c r="X566"/>
      <c r="Y566"/>
      <c r="Z566"/>
      <c r="AA566"/>
      <c r="AB566"/>
      <c r="AC566"/>
    </row>
    <row r="567" spans="1:29" x14ac:dyDescent="0.25">
      <c r="A567"/>
      <c r="B567"/>
      <c r="C567" s="92"/>
      <c r="L567" s="92"/>
      <c r="M567" s="92"/>
      <c r="Q567" s="115"/>
      <c r="R567" s="92"/>
      <c r="S567"/>
      <c r="T567"/>
      <c r="U567"/>
      <c r="V567"/>
      <c r="W567"/>
      <c r="X567"/>
      <c r="Y567"/>
      <c r="Z567"/>
      <c r="AA567"/>
      <c r="AB567"/>
      <c r="AC567"/>
    </row>
    <row r="568" spans="1:29" x14ac:dyDescent="0.25">
      <c r="A568"/>
      <c r="B568"/>
      <c r="C568" s="92"/>
      <c r="L568" s="92"/>
      <c r="M568" s="92"/>
      <c r="Q568" s="115"/>
      <c r="R568" s="92"/>
      <c r="S568"/>
      <c r="T568"/>
      <c r="U568"/>
      <c r="V568"/>
      <c r="W568"/>
      <c r="X568"/>
      <c r="Y568"/>
      <c r="Z568"/>
      <c r="AA568"/>
      <c r="AB568"/>
      <c r="AC568"/>
    </row>
    <row r="569" spans="1:29" x14ac:dyDescent="0.25">
      <c r="A569"/>
      <c r="B569"/>
      <c r="C569" s="92"/>
      <c r="L569" s="92"/>
      <c r="M569" s="92"/>
      <c r="Q569" s="115"/>
      <c r="R569" s="92"/>
      <c r="S569"/>
      <c r="T569"/>
      <c r="U569"/>
      <c r="V569"/>
      <c r="W569"/>
      <c r="X569"/>
      <c r="Y569"/>
      <c r="Z569"/>
      <c r="AA569"/>
      <c r="AB569"/>
      <c r="AC569"/>
    </row>
    <row r="570" spans="1:29" x14ac:dyDescent="0.25">
      <c r="A570"/>
      <c r="B570"/>
      <c r="C570" s="92"/>
      <c r="L570" s="92"/>
      <c r="M570" s="92"/>
      <c r="Q570" s="115"/>
      <c r="R570" s="92"/>
      <c r="S570"/>
      <c r="T570"/>
      <c r="U570"/>
      <c r="V570"/>
      <c r="W570"/>
      <c r="X570"/>
      <c r="Y570"/>
      <c r="Z570"/>
      <c r="AA570"/>
      <c r="AB570"/>
      <c r="AC570"/>
    </row>
    <row r="571" spans="1:29" x14ac:dyDescent="0.25">
      <c r="A571"/>
      <c r="B571"/>
      <c r="C571" s="92"/>
      <c r="L571" s="92"/>
      <c r="M571" s="92"/>
      <c r="Q571" s="115"/>
      <c r="R571" s="92"/>
      <c r="S571"/>
      <c r="T571"/>
      <c r="U571"/>
      <c r="V571"/>
      <c r="W571"/>
      <c r="X571"/>
      <c r="Y571"/>
      <c r="Z571"/>
      <c r="AA571"/>
      <c r="AB571"/>
      <c r="AC571"/>
    </row>
    <row r="572" spans="1:29" x14ac:dyDescent="0.25">
      <c r="A572"/>
      <c r="B572"/>
      <c r="C572" s="92"/>
      <c r="L572" s="92"/>
      <c r="M572" s="92"/>
      <c r="Q572" s="115"/>
      <c r="R572" s="92"/>
      <c r="S572"/>
      <c r="T572"/>
      <c r="U572"/>
      <c r="V572"/>
      <c r="W572"/>
      <c r="X572"/>
      <c r="Y572"/>
      <c r="Z572"/>
      <c r="AA572"/>
      <c r="AB572"/>
      <c r="AC572"/>
    </row>
    <row r="573" spans="1:29" x14ac:dyDescent="0.25">
      <c r="A573"/>
      <c r="B573"/>
      <c r="C573" s="92"/>
      <c r="L573" s="92"/>
      <c r="M573" s="92"/>
      <c r="Q573" s="115"/>
      <c r="R573" s="92"/>
      <c r="S573"/>
      <c r="T573"/>
      <c r="U573"/>
      <c r="V573"/>
      <c r="W573"/>
      <c r="X573"/>
      <c r="Y573"/>
      <c r="Z573"/>
      <c r="AA573"/>
      <c r="AB573"/>
      <c r="AC573"/>
    </row>
    <row r="574" spans="1:29" x14ac:dyDescent="0.25">
      <c r="A574"/>
      <c r="B574"/>
      <c r="C574" s="92"/>
      <c r="L574" s="92"/>
      <c r="M574" s="92"/>
      <c r="Q574" s="115"/>
      <c r="R574" s="92"/>
      <c r="S574"/>
      <c r="T574"/>
      <c r="U574"/>
      <c r="V574"/>
      <c r="W574"/>
      <c r="X574"/>
      <c r="Y574"/>
      <c r="Z574"/>
      <c r="AA574"/>
      <c r="AB574"/>
      <c r="AC574"/>
    </row>
    <row r="575" spans="1:29" x14ac:dyDescent="0.25">
      <c r="A575"/>
      <c r="B575"/>
      <c r="C575" s="92"/>
      <c r="L575" s="92"/>
      <c r="M575" s="92"/>
      <c r="Q575" s="115"/>
      <c r="R575" s="92"/>
      <c r="S575"/>
      <c r="T575"/>
      <c r="U575"/>
      <c r="V575"/>
      <c r="W575"/>
      <c r="X575"/>
      <c r="Y575"/>
      <c r="Z575"/>
      <c r="AA575"/>
      <c r="AB575"/>
      <c r="AC575"/>
    </row>
    <row r="576" spans="1:29" x14ac:dyDescent="0.25">
      <c r="A576"/>
      <c r="B576"/>
      <c r="C576" s="92"/>
      <c r="L576" s="92"/>
      <c r="M576" s="92"/>
      <c r="Q576" s="115"/>
      <c r="R576" s="92"/>
      <c r="S576"/>
      <c r="T576"/>
      <c r="U576"/>
      <c r="V576"/>
      <c r="W576"/>
      <c r="X576"/>
      <c r="Y576"/>
      <c r="Z576"/>
      <c r="AA576"/>
      <c r="AB576"/>
      <c r="AC576"/>
    </row>
    <row r="577" spans="1:29" x14ac:dyDescent="0.25">
      <c r="A577"/>
      <c r="B577"/>
      <c r="C577" s="92"/>
      <c r="L577" s="92"/>
      <c r="M577" s="92"/>
      <c r="Q577" s="115"/>
      <c r="R577" s="92"/>
      <c r="S577"/>
      <c r="T577"/>
      <c r="U577"/>
      <c r="V577"/>
      <c r="W577"/>
      <c r="X577"/>
      <c r="Y577"/>
      <c r="Z577"/>
      <c r="AA577"/>
      <c r="AB577"/>
      <c r="AC577"/>
    </row>
    <row r="578" spans="1:29" x14ac:dyDescent="0.25">
      <c r="A578"/>
      <c r="B578"/>
      <c r="C578" s="92"/>
      <c r="L578" s="92"/>
      <c r="M578" s="92"/>
      <c r="Q578" s="115"/>
      <c r="R578" s="92"/>
      <c r="S578"/>
      <c r="T578"/>
      <c r="U578"/>
      <c r="V578"/>
      <c r="W578"/>
      <c r="X578"/>
      <c r="Y578"/>
      <c r="Z578"/>
      <c r="AA578"/>
      <c r="AB578"/>
      <c r="AC578"/>
    </row>
    <row r="579" spans="1:29" x14ac:dyDescent="0.25">
      <c r="A579"/>
      <c r="B579"/>
      <c r="C579" s="92"/>
      <c r="L579" s="92"/>
      <c r="M579" s="92"/>
      <c r="Q579" s="115"/>
      <c r="R579" s="92"/>
      <c r="S579"/>
      <c r="T579"/>
      <c r="U579"/>
      <c r="V579"/>
      <c r="W579"/>
      <c r="X579"/>
      <c r="Y579"/>
      <c r="Z579"/>
      <c r="AA579"/>
      <c r="AB579"/>
      <c r="AC579"/>
    </row>
    <row r="580" spans="1:29" x14ac:dyDescent="0.25">
      <c r="A580"/>
      <c r="B580"/>
      <c r="C580" s="92"/>
      <c r="L580" s="92"/>
      <c r="M580" s="92"/>
      <c r="Q580" s="115"/>
      <c r="R580" s="92"/>
      <c r="S580"/>
      <c r="T580"/>
      <c r="U580"/>
      <c r="V580"/>
      <c r="W580"/>
      <c r="X580"/>
      <c r="Y580"/>
      <c r="Z580"/>
      <c r="AA580"/>
      <c r="AB580"/>
      <c r="AC580"/>
    </row>
    <row r="581" spans="1:29" x14ac:dyDescent="0.25">
      <c r="A581"/>
      <c r="B581"/>
      <c r="C581" s="92"/>
      <c r="L581" s="92"/>
      <c r="M581" s="92"/>
      <c r="Q581" s="115"/>
      <c r="R581" s="92"/>
      <c r="S581"/>
      <c r="T581"/>
      <c r="U581"/>
      <c r="V581"/>
      <c r="W581"/>
      <c r="X581"/>
      <c r="Y581"/>
      <c r="Z581"/>
      <c r="AA581"/>
      <c r="AB581"/>
      <c r="AC581"/>
    </row>
    <row r="582" spans="1:29" x14ac:dyDescent="0.25">
      <c r="A582"/>
      <c r="B582"/>
      <c r="C582" s="92"/>
      <c r="L582" s="92"/>
      <c r="M582" s="92"/>
      <c r="Q582" s="115"/>
      <c r="R582" s="92"/>
      <c r="S582"/>
      <c r="T582"/>
      <c r="U582"/>
      <c r="V582"/>
      <c r="W582"/>
      <c r="X582"/>
      <c r="Y582"/>
      <c r="Z582"/>
      <c r="AA582"/>
      <c r="AB582"/>
      <c r="AC582"/>
    </row>
    <row r="583" spans="1:29" x14ac:dyDescent="0.25">
      <c r="A583"/>
      <c r="B583"/>
      <c r="C583" s="92"/>
      <c r="L583" s="92"/>
      <c r="M583" s="92"/>
      <c r="Q583" s="115"/>
      <c r="R583" s="92"/>
      <c r="S583"/>
      <c r="T583"/>
      <c r="U583"/>
      <c r="V583"/>
      <c r="W583"/>
      <c r="X583"/>
      <c r="Y583"/>
      <c r="Z583"/>
      <c r="AA583"/>
      <c r="AB583"/>
      <c r="AC583"/>
    </row>
    <row r="584" spans="1:29" x14ac:dyDescent="0.25">
      <c r="A584"/>
      <c r="B584"/>
      <c r="C584" s="92"/>
      <c r="L584" s="92"/>
      <c r="M584" s="92"/>
      <c r="Q584" s="115"/>
      <c r="R584" s="92"/>
      <c r="S584"/>
      <c r="T584"/>
      <c r="U584"/>
      <c r="V584"/>
      <c r="W584"/>
      <c r="X584"/>
      <c r="Y584"/>
      <c r="Z584"/>
      <c r="AA584"/>
      <c r="AB584"/>
      <c r="AC584"/>
    </row>
    <row r="585" spans="1:29" x14ac:dyDescent="0.25">
      <c r="A585"/>
      <c r="B585"/>
      <c r="C585" s="92"/>
      <c r="L585" s="92"/>
      <c r="M585" s="92"/>
      <c r="Q585" s="115"/>
      <c r="R585" s="92"/>
      <c r="S585"/>
      <c r="T585"/>
      <c r="U585"/>
      <c r="V585"/>
      <c r="W585"/>
      <c r="X585"/>
      <c r="Y585"/>
      <c r="Z585"/>
      <c r="AA585"/>
      <c r="AB585"/>
      <c r="AC585"/>
    </row>
    <row r="586" spans="1:29" x14ac:dyDescent="0.25">
      <c r="A586"/>
      <c r="B586"/>
      <c r="C586" s="92"/>
      <c r="L586" s="92"/>
      <c r="M586" s="92"/>
      <c r="Q586" s="115"/>
      <c r="R586" s="92"/>
      <c r="S586"/>
      <c r="T586"/>
      <c r="U586"/>
      <c r="V586"/>
      <c r="W586"/>
      <c r="X586"/>
      <c r="Y586"/>
      <c r="Z586"/>
      <c r="AA586"/>
      <c r="AB586"/>
      <c r="AC586"/>
    </row>
    <row r="587" spans="1:29" x14ac:dyDescent="0.25">
      <c r="A587"/>
      <c r="B587"/>
      <c r="C587" s="92"/>
      <c r="L587" s="92"/>
      <c r="M587" s="92"/>
      <c r="Q587" s="115"/>
      <c r="R587" s="92"/>
      <c r="S587"/>
      <c r="T587"/>
      <c r="U587"/>
      <c r="V587"/>
      <c r="W587"/>
      <c r="X587"/>
      <c r="Y587"/>
      <c r="Z587"/>
      <c r="AA587"/>
      <c r="AB587"/>
      <c r="AC587"/>
    </row>
    <row r="588" spans="1:29" x14ac:dyDescent="0.25">
      <c r="A588"/>
      <c r="B588"/>
      <c r="C588" s="92"/>
      <c r="L588" s="92"/>
      <c r="M588" s="92"/>
      <c r="Q588" s="115"/>
      <c r="R588" s="92"/>
      <c r="S588"/>
      <c r="T588"/>
      <c r="U588"/>
      <c r="V588"/>
      <c r="W588"/>
      <c r="X588"/>
      <c r="Y588"/>
      <c r="Z588"/>
      <c r="AA588"/>
      <c r="AB588"/>
      <c r="AC588"/>
    </row>
    <row r="589" spans="1:29" x14ac:dyDescent="0.25">
      <c r="A589"/>
      <c r="B589"/>
      <c r="C589" s="92"/>
      <c r="L589" s="92"/>
      <c r="M589" s="92"/>
      <c r="Q589" s="115"/>
      <c r="R589" s="92"/>
      <c r="S589"/>
      <c r="T589"/>
      <c r="U589"/>
      <c r="V589"/>
      <c r="W589"/>
      <c r="X589"/>
      <c r="Y589"/>
      <c r="Z589"/>
      <c r="AA589"/>
      <c r="AB589"/>
      <c r="AC589"/>
    </row>
    <row r="590" spans="1:29" x14ac:dyDescent="0.25">
      <c r="A590"/>
      <c r="B590"/>
      <c r="C590" s="92"/>
      <c r="L590" s="92"/>
      <c r="M590" s="92"/>
      <c r="Q590" s="115"/>
      <c r="R590" s="92"/>
      <c r="S590"/>
      <c r="T590"/>
      <c r="U590"/>
      <c r="V590"/>
      <c r="W590"/>
      <c r="X590"/>
      <c r="Y590"/>
      <c r="Z590"/>
      <c r="AA590"/>
      <c r="AB590"/>
      <c r="AC590"/>
    </row>
    <row r="591" spans="1:29" x14ac:dyDescent="0.25">
      <c r="A591"/>
      <c r="B591"/>
      <c r="C591" s="92"/>
      <c r="L591" s="92"/>
      <c r="M591" s="92"/>
      <c r="Q591" s="115"/>
      <c r="R591" s="92"/>
      <c r="S591"/>
      <c r="T591"/>
      <c r="U591"/>
      <c r="V591"/>
      <c r="W591"/>
      <c r="X591"/>
      <c r="Y591"/>
      <c r="Z591"/>
      <c r="AA591"/>
      <c r="AB591"/>
      <c r="AC591"/>
    </row>
    <row r="592" spans="1:29" x14ac:dyDescent="0.25">
      <c r="A592"/>
      <c r="B592"/>
      <c r="C592" s="92"/>
      <c r="L592" s="92"/>
      <c r="M592" s="92"/>
      <c r="Q592" s="115"/>
      <c r="R592" s="92"/>
      <c r="S592"/>
      <c r="T592"/>
      <c r="U592"/>
      <c r="V592"/>
      <c r="W592"/>
      <c r="X592"/>
      <c r="Y592"/>
      <c r="Z592"/>
      <c r="AA592"/>
      <c r="AB592"/>
      <c r="AC592"/>
    </row>
    <row r="593" spans="1:29" x14ac:dyDescent="0.25">
      <c r="A593"/>
      <c r="B593"/>
      <c r="C593" s="92"/>
      <c r="L593" s="92"/>
      <c r="M593" s="92"/>
      <c r="Q593" s="115"/>
      <c r="R593" s="92"/>
      <c r="S593"/>
      <c r="T593"/>
      <c r="U593"/>
      <c r="V593"/>
      <c r="W593"/>
      <c r="X593"/>
      <c r="Y593"/>
      <c r="Z593"/>
      <c r="AA593"/>
      <c r="AB593"/>
      <c r="AC593"/>
    </row>
    <row r="594" spans="1:29" x14ac:dyDescent="0.25">
      <c r="A594"/>
      <c r="B594"/>
      <c r="C594" s="92"/>
      <c r="L594" s="92"/>
      <c r="M594" s="92"/>
      <c r="Q594" s="115"/>
      <c r="R594" s="92"/>
      <c r="S594"/>
      <c r="T594"/>
      <c r="U594"/>
      <c r="V594"/>
      <c r="W594"/>
      <c r="X594"/>
      <c r="Y594"/>
      <c r="Z594"/>
      <c r="AA594"/>
      <c r="AB594"/>
      <c r="AC594"/>
    </row>
    <row r="595" spans="1:29" x14ac:dyDescent="0.25">
      <c r="A595"/>
      <c r="B595"/>
      <c r="C595" s="92"/>
      <c r="L595" s="92"/>
      <c r="M595" s="92"/>
      <c r="Q595" s="115"/>
      <c r="R595" s="92"/>
      <c r="S595"/>
      <c r="T595"/>
      <c r="U595"/>
      <c r="V595"/>
      <c r="W595"/>
      <c r="X595"/>
      <c r="Y595"/>
      <c r="Z595"/>
      <c r="AA595"/>
      <c r="AB595"/>
      <c r="AC595"/>
    </row>
    <row r="596" spans="1:29" x14ac:dyDescent="0.25">
      <c r="A596"/>
      <c r="B596"/>
      <c r="C596" s="92"/>
      <c r="L596" s="92"/>
      <c r="M596" s="92"/>
      <c r="Q596" s="115"/>
      <c r="R596" s="92"/>
      <c r="S596"/>
      <c r="T596"/>
      <c r="U596"/>
      <c r="V596"/>
      <c r="W596"/>
      <c r="X596"/>
      <c r="Y596"/>
      <c r="Z596"/>
      <c r="AA596"/>
      <c r="AB596"/>
      <c r="AC596"/>
    </row>
    <row r="597" spans="1:29" x14ac:dyDescent="0.25">
      <c r="A597"/>
      <c r="B597"/>
      <c r="C597" s="92"/>
      <c r="L597" s="92"/>
      <c r="M597" s="92"/>
      <c r="Q597" s="115"/>
      <c r="R597" s="92"/>
      <c r="S597"/>
      <c r="T597"/>
      <c r="U597"/>
      <c r="V597"/>
      <c r="W597"/>
      <c r="X597"/>
      <c r="Y597"/>
      <c r="Z597"/>
      <c r="AA597"/>
      <c r="AB597"/>
      <c r="AC597"/>
    </row>
    <row r="598" spans="1:29" x14ac:dyDescent="0.25">
      <c r="A598"/>
      <c r="B598"/>
      <c r="C598" s="92"/>
      <c r="L598" s="92"/>
      <c r="M598" s="92"/>
      <c r="Q598" s="115"/>
      <c r="R598" s="92"/>
      <c r="S598"/>
      <c r="T598"/>
      <c r="U598"/>
      <c r="V598"/>
      <c r="W598"/>
      <c r="X598"/>
      <c r="Y598"/>
      <c r="Z598"/>
      <c r="AA598"/>
      <c r="AB598"/>
      <c r="AC598"/>
    </row>
    <row r="599" spans="1:29" x14ac:dyDescent="0.25">
      <c r="A599"/>
      <c r="B599"/>
      <c r="C599" s="92"/>
      <c r="L599" s="92"/>
      <c r="M599" s="92"/>
      <c r="Q599" s="115"/>
      <c r="R599" s="92"/>
      <c r="S599"/>
      <c r="T599"/>
      <c r="U599"/>
      <c r="V599"/>
      <c r="W599"/>
      <c r="X599"/>
      <c r="Y599"/>
      <c r="Z599"/>
      <c r="AA599"/>
      <c r="AB599"/>
      <c r="AC599"/>
    </row>
    <row r="600" spans="1:29" x14ac:dyDescent="0.25">
      <c r="A600"/>
      <c r="B600"/>
      <c r="C600" s="92"/>
      <c r="L600" s="92"/>
      <c r="M600" s="92"/>
      <c r="Q600" s="115"/>
      <c r="R600" s="92"/>
      <c r="S600"/>
      <c r="T600"/>
      <c r="U600"/>
      <c r="V600"/>
      <c r="W600"/>
      <c r="X600"/>
      <c r="Y600"/>
      <c r="Z600"/>
      <c r="AA600"/>
      <c r="AB600"/>
      <c r="AC600"/>
    </row>
    <row r="601" spans="1:29" x14ac:dyDescent="0.25">
      <c r="A601"/>
      <c r="B601"/>
      <c r="C601" s="92"/>
      <c r="L601" s="92"/>
      <c r="M601" s="92"/>
      <c r="Q601" s="115"/>
      <c r="R601" s="92"/>
      <c r="S601"/>
      <c r="T601"/>
      <c r="U601"/>
      <c r="V601"/>
      <c r="W601"/>
      <c r="X601"/>
      <c r="Y601"/>
      <c r="Z601"/>
      <c r="AA601"/>
      <c r="AB601"/>
      <c r="AC601"/>
    </row>
    <row r="602" spans="1:29" x14ac:dyDescent="0.25">
      <c r="A602"/>
      <c r="B602"/>
      <c r="C602" s="92"/>
      <c r="L602" s="92"/>
      <c r="M602" s="92"/>
      <c r="Q602" s="115"/>
      <c r="R602" s="92"/>
      <c r="S602"/>
      <c r="T602"/>
      <c r="U602"/>
      <c r="V602"/>
      <c r="W602"/>
      <c r="X602"/>
      <c r="Y602"/>
      <c r="Z602"/>
      <c r="AA602"/>
      <c r="AB602"/>
      <c r="AC602"/>
    </row>
    <row r="603" spans="1:29" x14ac:dyDescent="0.25">
      <c r="A603"/>
      <c r="B603"/>
      <c r="C603" s="92"/>
      <c r="L603" s="92"/>
      <c r="M603" s="92"/>
      <c r="Q603" s="115"/>
      <c r="R603" s="92"/>
      <c r="S603"/>
      <c r="T603"/>
      <c r="U603"/>
      <c r="V603"/>
      <c r="W603"/>
      <c r="X603"/>
      <c r="Y603"/>
      <c r="Z603"/>
      <c r="AA603"/>
      <c r="AB603"/>
      <c r="AC603"/>
    </row>
    <row r="604" spans="1:29" x14ac:dyDescent="0.25">
      <c r="A604"/>
      <c r="B604"/>
      <c r="C604" s="92"/>
      <c r="L604" s="92"/>
      <c r="M604" s="92"/>
      <c r="Q604" s="115"/>
      <c r="R604" s="92"/>
      <c r="S604"/>
      <c r="T604"/>
      <c r="U604"/>
      <c r="V604"/>
      <c r="W604"/>
      <c r="X604"/>
      <c r="Y604"/>
      <c r="Z604"/>
      <c r="AA604"/>
      <c r="AB604"/>
      <c r="AC604"/>
    </row>
    <row r="605" spans="1:29" x14ac:dyDescent="0.25">
      <c r="A605"/>
      <c r="B605"/>
      <c r="C605" s="92"/>
      <c r="L605" s="92"/>
      <c r="M605" s="92"/>
      <c r="Q605" s="115"/>
      <c r="R605" s="92"/>
      <c r="S605"/>
      <c r="T605"/>
      <c r="U605"/>
      <c r="V605"/>
      <c r="W605"/>
      <c r="X605"/>
      <c r="Y605"/>
      <c r="Z605"/>
      <c r="AA605"/>
      <c r="AB605"/>
      <c r="AC605"/>
    </row>
    <row r="606" spans="1:29" x14ac:dyDescent="0.25">
      <c r="A606"/>
      <c r="B606"/>
      <c r="C606" s="92"/>
      <c r="L606" s="92"/>
      <c r="M606" s="92"/>
      <c r="Q606" s="115"/>
      <c r="R606" s="92"/>
      <c r="S606"/>
      <c r="T606"/>
      <c r="U606"/>
      <c r="V606"/>
      <c r="W606"/>
      <c r="X606"/>
      <c r="Y606"/>
      <c r="Z606"/>
      <c r="AA606"/>
      <c r="AB606"/>
      <c r="AC606"/>
    </row>
    <row r="607" spans="1:29" x14ac:dyDescent="0.25">
      <c r="A607"/>
      <c r="B607"/>
      <c r="C607" s="92"/>
      <c r="L607" s="92"/>
      <c r="M607" s="92"/>
      <c r="Q607" s="115"/>
      <c r="R607" s="92"/>
      <c r="S607"/>
      <c r="T607"/>
      <c r="U607"/>
      <c r="V607"/>
      <c r="W607"/>
      <c r="X607"/>
      <c r="Y607"/>
      <c r="Z607"/>
      <c r="AA607"/>
      <c r="AB607"/>
      <c r="AC607"/>
    </row>
    <row r="608" spans="1:29" x14ac:dyDescent="0.25">
      <c r="A608"/>
      <c r="B608"/>
      <c r="C608" s="92"/>
      <c r="L608" s="92"/>
      <c r="M608" s="92"/>
      <c r="Q608" s="115"/>
      <c r="R608" s="92"/>
      <c r="S608"/>
      <c r="T608"/>
      <c r="U608"/>
      <c r="V608"/>
      <c r="W608"/>
      <c r="X608"/>
      <c r="Y608"/>
      <c r="Z608"/>
      <c r="AA608"/>
      <c r="AB608"/>
      <c r="AC608"/>
    </row>
    <row r="609" spans="1:29" x14ac:dyDescent="0.25">
      <c r="A609"/>
      <c r="B609"/>
      <c r="C609" s="92"/>
      <c r="L609" s="92"/>
      <c r="M609" s="92"/>
      <c r="Q609" s="115"/>
      <c r="R609" s="92"/>
      <c r="S609"/>
      <c r="T609"/>
      <c r="U609"/>
      <c r="V609"/>
      <c r="W609"/>
      <c r="X609"/>
      <c r="Y609"/>
      <c r="Z609"/>
      <c r="AA609"/>
      <c r="AB609"/>
      <c r="AC609"/>
    </row>
    <row r="610" spans="1:29" x14ac:dyDescent="0.25">
      <c r="A610"/>
      <c r="B610"/>
      <c r="C610" s="92"/>
      <c r="L610" s="92"/>
      <c r="M610" s="92"/>
      <c r="Q610" s="115"/>
      <c r="R610" s="92"/>
      <c r="S610"/>
      <c r="T610"/>
      <c r="U610"/>
      <c r="V610"/>
      <c r="W610"/>
      <c r="X610"/>
      <c r="Y610"/>
      <c r="Z610"/>
      <c r="AA610"/>
      <c r="AB610"/>
      <c r="AC610"/>
    </row>
    <row r="611" spans="1:29" x14ac:dyDescent="0.25">
      <c r="A611"/>
      <c r="B611"/>
      <c r="C611" s="92"/>
      <c r="L611" s="92"/>
      <c r="M611" s="92"/>
      <c r="Q611" s="115"/>
      <c r="R611" s="92"/>
      <c r="S611"/>
      <c r="T611"/>
      <c r="U611"/>
      <c r="V611"/>
      <c r="W611"/>
      <c r="X611"/>
      <c r="Y611"/>
      <c r="Z611"/>
      <c r="AA611"/>
      <c r="AB611"/>
      <c r="AC611"/>
    </row>
    <row r="612" spans="1:29" x14ac:dyDescent="0.25">
      <c r="A612"/>
      <c r="B612"/>
      <c r="C612" s="92"/>
      <c r="L612" s="92"/>
      <c r="M612" s="92"/>
      <c r="Q612" s="115"/>
      <c r="R612" s="92"/>
      <c r="S612"/>
      <c r="T612"/>
      <c r="U612"/>
      <c r="V612"/>
      <c r="W612"/>
      <c r="X612"/>
      <c r="Y612"/>
      <c r="Z612"/>
      <c r="AA612"/>
      <c r="AB612"/>
      <c r="AC612"/>
    </row>
    <row r="613" spans="1:29" x14ac:dyDescent="0.25">
      <c r="A613"/>
      <c r="B613"/>
      <c r="C613" s="92"/>
      <c r="L613" s="92"/>
      <c r="M613" s="92"/>
      <c r="Q613" s="115"/>
      <c r="R613" s="92"/>
      <c r="S613"/>
      <c r="T613"/>
      <c r="U613"/>
      <c r="V613"/>
      <c r="W613"/>
      <c r="X613"/>
      <c r="Y613"/>
      <c r="Z613"/>
      <c r="AA613"/>
      <c r="AB613"/>
      <c r="AC613"/>
    </row>
    <row r="614" spans="1:29" x14ac:dyDescent="0.25">
      <c r="A614"/>
      <c r="B614"/>
      <c r="C614" s="92"/>
      <c r="L614" s="92"/>
      <c r="M614" s="92"/>
      <c r="Q614" s="115"/>
      <c r="R614" s="92"/>
      <c r="S614"/>
      <c r="T614"/>
      <c r="U614"/>
      <c r="V614"/>
      <c r="W614"/>
      <c r="X614"/>
      <c r="Y614"/>
      <c r="Z614"/>
      <c r="AA614"/>
      <c r="AB614"/>
      <c r="AC614"/>
    </row>
    <row r="615" spans="1:29" x14ac:dyDescent="0.25">
      <c r="A615"/>
      <c r="B615"/>
      <c r="C615" s="92"/>
      <c r="L615" s="92"/>
      <c r="M615" s="92"/>
      <c r="Q615" s="115"/>
      <c r="R615" s="92"/>
      <c r="S615"/>
      <c r="T615"/>
      <c r="U615"/>
      <c r="V615"/>
      <c r="W615"/>
      <c r="X615"/>
      <c r="Y615"/>
      <c r="Z615"/>
      <c r="AA615"/>
      <c r="AB615"/>
      <c r="AC615"/>
    </row>
    <row r="616" spans="1:29" x14ac:dyDescent="0.25">
      <c r="A616"/>
      <c r="B616"/>
      <c r="C616" s="92"/>
      <c r="L616" s="92"/>
      <c r="M616" s="92"/>
      <c r="Q616" s="115"/>
      <c r="R616" s="92"/>
      <c r="S616"/>
      <c r="T616"/>
      <c r="U616"/>
      <c r="V616"/>
      <c r="W616"/>
      <c r="X616"/>
      <c r="Y616"/>
      <c r="Z616"/>
      <c r="AA616"/>
      <c r="AB616"/>
      <c r="AC616"/>
    </row>
    <row r="617" spans="1:29" x14ac:dyDescent="0.25">
      <c r="A617"/>
      <c r="B617"/>
      <c r="C617" s="92"/>
      <c r="L617" s="92"/>
      <c r="M617" s="92"/>
      <c r="Q617" s="115"/>
      <c r="R617" s="92"/>
      <c r="S617"/>
      <c r="T617"/>
      <c r="U617"/>
      <c r="V617"/>
      <c r="W617"/>
      <c r="X617"/>
      <c r="Y617"/>
      <c r="Z617"/>
      <c r="AA617"/>
      <c r="AB617"/>
      <c r="AC617"/>
    </row>
    <row r="618" spans="1:29" x14ac:dyDescent="0.25">
      <c r="A618"/>
      <c r="B618"/>
      <c r="C618" s="92"/>
      <c r="L618" s="92"/>
      <c r="M618" s="92"/>
      <c r="Q618" s="115"/>
      <c r="R618" s="92"/>
      <c r="S618"/>
      <c r="T618"/>
      <c r="U618"/>
      <c r="V618"/>
      <c r="W618"/>
      <c r="X618"/>
      <c r="Y618"/>
      <c r="Z618"/>
      <c r="AA618"/>
      <c r="AB618"/>
      <c r="AC618"/>
    </row>
    <row r="619" spans="1:29" x14ac:dyDescent="0.25">
      <c r="A619"/>
      <c r="B619"/>
      <c r="C619" s="92"/>
      <c r="L619" s="92"/>
      <c r="M619" s="92"/>
      <c r="Q619" s="115"/>
      <c r="R619" s="92"/>
      <c r="S619"/>
      <c r="T619"/>
      <c r="U619"/>
      <c r="V619"/>
      <c r="W619"/>
      <c r="X619"/>
      <c r="Y619"/>
      <c r="Z619"/>
      <c r="AA619"/>
      <c r="AB619"/>
      <c r="AC619"/>
    </row>
    <row r="620" spans="1:29" x14ac:dyDescent="0.25">
      <c r="A620"/>
      <c r="B620"/>
      <c r="C620" s="92"/>
      <c r="L620" s="92"/>
      <c r="M620" s="92"/>
      <c r="Q620" s="115"/>
      <c r="R620" s="92"/>
      <c r="S620"/>
      <c r="T620"/>
      <c r="U620"/>
      <c r="V620"/>
      <c r="W620"/>
      <c r="X620"/>
      <c r="Y620"/>
      <c r="Z620"/>
      <c r="AA620"/>
      <c r="AB620"/>
      <c r="AC620"/>
    </row>
    <row r="621" spans="1:29" x14ac:dyDescent="0.25">
      <c r="A621"/>
      <c r="B621"/>
      <c r="C621" s="92"/>
      <c r="L621" s="92"/>
      <c r="M621" s="92"/>
      <c r="Q621" s="115"/>
      <c r="R621" s="92"/>
      <c r="S621"/>
      <c r="T621"/>
      <c r="U621"/>
      <c r="V621"/>
      <c r="W621"/>
      <c r="X621"/>
      <c r="Y621"/>
      <c r="Z621"/>
      <c r="AA621"/>
      <c r="AB621"/>
      <c r="AC621"/>
    </row>
    <row r="622" spans="1:29" x14ac:dyDescent="0.25">
      <c r="A622"/>
      <c r="B622"/>
      <c r="C622" s="92"/>
      <c r="L622" s="92"/>
      <c r="M622" s="92"/>
      <c r="Q622" s="115"/>
      <c r="R622" s="92"/>
      <c r="S622"/>
      <c r="T622"/>
      <c r="U622"/>
      <c r="V622"/>
      <c r="W622"/>
      <c r="X622"/>
      <c r="Y622"/>
      <c r="Z622"/>
      <c r="AA622"/>
      <c r="AB622"/>
      <c r="AC622"/>
    </row>
    <row r="623" spans="1:29" x14ac:dyDescent="0.25">
      <c r="A623"/>
      <c r="B623"/>
      <c r="C623" s="92"/>
      <c r="L623" s="92"/>
      <c r="M623" s="92"/>
      <c r="Q623" s="115"/>
      <c r="R623" s="92"/>
      <c r="S623"/>
      <c r="T623"/>
      <c r="U623"/>
      <c r="V623"/>
      <c r="W623"/>
      <c r="X623"/>
      <c r="Y623"/>
      <c r="Z623"/>
      <c r="AA623"/>
      <c r="AB623"/>
      <c r="AC623"/>
    </row>
    <row r="624" spans="1:29" x14ac:dyDescent="0.25">
      <c r="A624"/>
      <c r="B624"/>
      <c r="C624" s="92"/>
      <c r="L624" s="92"/>
      <c r="M624" s="92"/>
      <c r="Q624" s="115"/>
      <c r="R624" s="92"/>
      <c r="S624"/>
      <c r="T624"/>
      <c r="U624"/>
      <c r="V624"/>
      <c r="W624"/>
      <c r="X624"/>
      <c r="Y624"/>
      <c r="Z624"/>
      <c r="AA624"/>
      <c r="AB624"/>
      <c r="AC624"/>
    </row>
    <row r="625" spans="1:29" x14ac:dyDescent="0.25">
      <c r="A625"/>
      <c r="B625"/>
      <c r="C625" s="92"/>
      <c r="L625" s="92"/>
      <c r="M625" s="92"/>
      <c r="Q625" s="115"/>
      <c r="R625" s="92"/>
      <c r="S625"/>
      <c r="T625"/>
      <c r="U625"/>
      <c r="V625"/>
      <c r="W625"/>
      <c r="X625"/>
      <c r="Y625"/>
      <c r="Z625"/>
      <c r="AA625"/>
      <c r="AB625"/>
      <c r="AC625"/>
    </row>
    <row r="626" spans="1:29" x14ac:dyDescent="0.25">
      <c r="A626"/>
      <c r="B626"/>
      <c r="C626" s="92"/>
      <c r="L626" s="92"/>
      <c r="M626" s="92"/>
      <c r="Q626" s="115"/>
      <c r="R626" s="92"/>
      <c r="S626"/>
      <c r="T626"/>
      <c r="U626"/>
      <c r="V626"/>
      <c r="W626"/>
      <c r="X626"/>
      <c r="Y626"/>
      <c r="Z626"/>
      <c r="AA626"/>
      <c r="AB626"/>
      <c r="AC626"/>
    </row>
    <row r="627" spans="1:29" x14ac:dyDescent="0.25">
      <c r="A627"/>
      <c r="B627"/>
      <c r="C627" s="92"/>
      <c r="L627" s="92"/>
      <c r="M627" s="92"/>
      <c r="Q627" s="115"/>
      <c r="R627" s="92"/>
      <c r="S627"/>
      <c r="T627"/>
      <c r="U627"/>
      <c r="V627"/>
      <c r="W627"/>
      <c r="X627"/>
      <c r="Y627"/>
      <c r="Z627"/>
      <c r="AA627"/>
      <c r="AB627"/>
      <c r="AC627"/>
    </row>
    <row r="628" spans="1:29" x14ac:dyDescent="0.25">
      <c r="A628"/>
      <c r="B628"/>
      <c r="C628" s="92"/>
      <c r="L628" s="92"/>
      <c r="M628" s="92"/>
      <c r="Q628" s="115"/>
      <c r="R628" s="92"/>
      <c r="S628"/>
      <c r="T628"/>
      <c r="U628"/>
      <c r="V628"/>
      <c r="W628"/>
      <c r="X628"/>
      <c r="Y628"/>
      <c r="Z628"/>
      <c r="AA628"/>
      <c r="AB628"/>
      <c r="AC628"/>
    </row>
    <row r="629" spans="1:29" x14ac:dyDescent="0.25">
      <c r="A629"/>
      <c r="B629"/>
      <c r="C629" s="92"/>
      <c r="L629" s="92"/>
      <c r="M629" s="92"/>
      <c r="Q629" s="115"/>
      <c r="R629" s="92"/>
      <c r="S629"/>
      <c r="T629"/>
      <c r="U629"/>
      <c r="V629"/>
      <c r="W629"/>
      <c r="X629"/>
      <c r="Y629"/>
      <c r="Z629"/>
      <c r="AA629"/>
      <c r="AB629"/>
      <c r="AC629"/>
    </row>
    <row r="630" spans="1:29" x14ac:dyDescent="0.25">
      <c r="A630"/>
      <c r="B630"/>
      <c r="C630" s="92"/>
      <c r="L630" s="92"/>
      <c r="M630" s="92"/>
      <c r="Q630" s="115"/>
      <c r="R630" s="92"/>
      <c r="S630"/>
      <c r="T630"/>
      <c r="U630"/>
      <c r="V630"/>
      <c r="W630"/>
      <c r="X630"/>
      <c r="Y630"/>
      <c r="Z630"/>
      <c r="AA630"/>
      <c r="AB630"/>
      <c r="AC630"/>
    </row>
    <row r="631" spans="1:29" x14ac:dyDescent="0.25">
      <c r="A631"/>
      <c r="B631"/>
      <c r="C631" s="92"/>
      <c r="L631" s="92"/>
      <c r="M631" s="92"/>
      <c r="Q631" s="115"/>
      <c r="R631" s="92"/>
      <c r="S631"/>
      <c r="T631"/>
      <c r="U631"/>
      <c r="V631"/>
      <c r="W631"/>
      <c r="X631"/>
      <c r="Y631"/>
      <c r="Z631"/>
      <c r="AA631"/>
      <c r="AB631"/>
      <c r="AC631"/>
    </row>
    <row r="632" spans="1:29" x14ac:dyDescent="0.25">
      <c r="A632"/>
      <c r="B632"/>
      <c r="C632" s="92"/>
      <c r="L632" s="92"/>
      <c r="M632" s="92"/>
      <c r="Q632" s="115"/>
      <c r="R632" s="92"/>
      <c r="S632"/>
      <c r="T632"/>
      <c r="U632"/>
      <c r="V632"/>
      <c r="W632"/>
      <c r="X632"/>
      <c r="Y632"/>
      <c r="Z632"/>
      <c r="AA632"/>
      <c r="AB632"/>
      <c r="AC632"/>
    </row>
    <row r="633" spans="1:29" x14ac:dyDescent="0.25">
      <c r="A633"/>
      <c r="B633"/>
      <c r="C633" s="92"/>
      <c r="L633" s="92"/>
      <c r="M633" s="92"/>
      <c r="Q633" s="115"/>
      <c r="R633" s="92"/>
      <c r="S633"/>
      <c r="T633"/>
      <c r="U633"/>
      <c r="V633"/>
      <c r="W633"/>
      <c r="X633"/>
      <c r="Y633"/>
      <c r="Z633"/>
      <c r="AA633"/>
      <c r="AB633"/>
      <c r="AC633"/>
    </row>
    <row r="634" spans="1:29" x14ac:dyDescent="0.25">
      <c r="A634"/>
      <c r="B634"/>
      <c r="C634" s="92"/>
      <c r="L634" s="92"/>
      <c r="M634" s="92"/>
      <c r="Q634" s="115"/>
      <c r="R634" s="92"/>
      <c r="S634"/>
      <c r="T634"/>
      <c r="U634"/>
      <c r="V634"/>
      <c r="W634"/>
      <c r="X634"/>
      <c r="Y634"/>
      <c r="Z634"/>
      <c r="AA634"/>
      <c r="AB634"/>
      <c r="AC634"/>
    </row>
    <row r="635" spans="1:29" x14ac:dyDescent="0.25">
      <c r="A635"/>
      <c r="B635"/>
      <c r="C635" s="92"/>
      <c r="L635" s="92"/>
      <c r="M635" s="92"/>
      <c r="Q635" s="115"/>
      <c r="R635" s="92"/>
      <c r="S635"/>
      <c r="T635"/>
      <c r="U635"/>
      <c r="V635"/>
      <c r="W635"/>
      <c r="X635"/>
      <c r="Y635"/>
      <c r="Z635"/>
      <c r="AA635"/>
      <c r="AB635"/>
      <c r="AC635"/>
    </row>
    <row r="636" spans="1:29" x14ac:dyDescent="0.25">
      <c r="A636"/>
      <c r="B636"/>
      <c r="C636" s="92"/>
      <c r="L636" s="92"/>
      <c r="M636" s="92"/>
      <c r="Q636" s="115"/>
      <c r="R636" s="92"/>
      <c r="S636"/>
      <c r="T636"/>
      <c r="U636"/>
      <c r="V636"/>
      <c r="W636"/>
      <c r="X636"/>
      <c r="Y636"/>
      <c r="Z636"/>
      <c r="AA636"/>
      <c r="AB636"/>
      <c r="AC636"/>
    </row>
    <row r="637" spans="1:29" x14ac:dyDescent="0.25">
      <c r="A637"/>
      <c r="B637"/>
      <c r="C637" s="92"/>
      <c r="L637" s="92"/>
      <c r="M637" s="92"/>
      <c r="Q637" s="115"/>
      <c r="R637" s="92"/>
      <c r="S637"/>
      <c r="T637"/>
      <c r="U637"/>
      <c r="V637"/>
      <c r="W637"/>
      <c r="X637"/>
      <c r="Y637"/>
      <c r="Z637"/>
      <c r="AA637"/>
      <c r="AB637"/>
      <c r="AC637"/>
    </row>
    <row r="638" spans="1:29" x14ac:dyDescent="0.25">
      <c r="A638"/>
      <c r="B638"/>
      <c r="C638" s="92"/>
      <c r="L638" s="92"/>
      <c r="M638" s="92"/>
      <c r="Q638" s="115"/>
      <c r="R638" s="92"/>
      <c r="S638"/>
      <c r="T638"/>
      <c r="U638"/>
      <c r="V638"/>
      <c r="W638"/>
      <c r="X638"/>
      <c r="Y638"/>
      <c r="Z638"/>
      <c r="AA638"/>
      <c r="AB638"/>
      <c r="AC638"/>
    </row>
    <row r="639" spans="1:29" x14ac:dyDescent="0.25">
      <c r="A639"/>
      <c r="B639"/>
      <c r="C639" s="92"/>
      <c r="L639" s="92"/>
      <c r="M639" s="92"/>
      <c r="Q639" s="115"/>
      <c r="R639" s="92"/>
      <c r="S639"/>
      <c r="T639"/>
      <c r="U639"/>
      <c r="V639"/>
      <c r="W639"/>
      <c r="X639"/>
      <c r="Y639"/>
      <c r="Z639"/>
      <c r="AA639"/>
      <c r="AB639"/>
      <c r="AC639"/>
    </row>
    <row r="640" spans="1:29" x14ac:dyDescent="0.25">
      <c r="A640"/>
      <c r="B640"/>
      <c r="C640" s="92"/>
      <c r="L640" s="92"/>
      <c r="M640" s="92"/>
      <c r="Q640" s="115"/>
      <c r="R640" s="92"/>
      <c r="S640"/>
      <c r="T640"/>
      <c r="U640"/>
      <c r="V640"/>
      <c r="W640"/>
      <c r="X640"/>
      <c r="Y640"/>
      <c r="Z640"/>
      <c r="AA640"/>
      <c r="AB640"/>
      <c r="AC640"/>
    </row>
    <row r="641" spans="1:29" x14ac:dyDescent="0.25">
      <c r="A641"/>
      <c r="B641"/>
      <c r="C641" s="92"/>
      <c r="L641" s="92"/>
      <c r="M641" s="92"/>
      <c r="Q641" s="115"/>
      <c r="R641" s="92"/>
      <c r="S641"/>
      <c r="T641"/>
      <c r="U641"/>
      <c r="V641"/>
      <c r="W641"/>
      <c r="X641"/>
      <c r="Y641"/>
      <c r="Z641"/>
      <c r="AA641"/>
      <c r="AB641"/>
      <c r="AC641"/>
    </row>
    <row r="642" spans="1:29" x14ac:dyDescent="0.25">
      <c r="A642"/>
      <c r="B642"/>
      <c r="C642" s="92"/>
      <c r="L642" s="92"/>
      <c r="M642" s="92"/>
      <c r="Q642" s="115"/>
      <c r="R642" s="92"/>
      <c r="S642"/>
      <c r="T642"/>
      <c r="U642"/>
      <c r="V642"/>
      <c r="W642"/>
      <c r="X642"/>
      <c r="Y642"/>
      <c r="Z642"/>
      <c r="AA642"/>
      <c r="AB642"/>
      <c r="AC642"/>
    </row>
    <row r="643" spans="1:29" x14ac:dyDescent="0.25">
      <c r="A643"/>
      <c r="B643"/>
      <c r="C643" s="92"/>
      <c r="L643" s="92"/>
      <c r="M643" s="92"/>
      <c r="Q643" s="115"/>
      <c r="R643" s="92"/>
      <c r="S643"/>
      <c r="T643"/>
      <c r="U643"/>
      <c r="V643"/>
      <c r="W643"/>
      <c r="X643"/>
      <c r="Y643"/>
      <c r="Z643"/>
      <c r="AA643"/>
      <c r="AB643"/>
      <c r="AC643"/>
    </row>
    <row r="644" spans="1:29" x14ac:dyDescent="0.25">
      <c r="A644"/>
      <c r="B644"/>
      <c r="C644" s="92"/>
      <c r="L644" s="92"/>
      <c r="M644" s="92"/>
      <c r="Q644" s="115"/>
      <c r="R644" s="92"/>
      <c r="S644"/>
      <c r="T644"/>
      <c r="U644"/>
      <c r="V644"/>
      <c r="W644"/>
      <c r="X644"/>
      <c r="Y644"/>
      <c r="Z644"/>
      <c r="AA644"/>
      <c r="AB644"/>
      <c r="AC644"/>
    </row>
    <row r="645" spans="1:29" x14ac:dyDescent="0.25">
      <c r="A645"/>
      <c r="B645"/>
      <c r="C645" s="92"/>
      <c r="L645" s="92"/>
      <c r="M645" s="92"/>
      <c r="Q645" s="115"/>
      <c r="R645" s="92"/>
      <c r="S645"/>
      <c r="T645"/>
      <c r="U645"/>
      <c r="V645"/>
      <c r="W645"/>
      <c r="X645"/>
      <c r="Y645"/>
      <c r="Z645"/>
      <c r="AA645"/>
      <c r="AB645"/>
      <c r="AC645"/>
    </row>
    <row r="646" spans="1:29" x14ac:dyDescent="0.25">
      <c r="A646"/>
      <c r="B646"/>
      <c r="C646" s="92"/>
      <c r="L646" s="92"/>
      <c r="M646" s="92"/>
      <c r="Q646" s="115"/>
      <c r="R646" s="92"/>
      <c r="S646"/>
      <c r="T646"/>
      <c r="U646"/>
      <c r="V646"/>
      <c r="W646"/>
      <c r="X646"/>
      <c r="Y646"/>
      <c r="Z646"/>
      <c r="AA646"/>
      <c r="AB646"/>
      <c r="AC646"/>
    </row>
    <row r="647" spans="1:29" x14ac:dyDescent="0.25">
      <c r="A647"/>
      <c r="B647"/>
      <c r="C647" s="92"/>
      <c r="L647" s="92"/>
      <c r="M647" s="92"/>
      <c r="Q647" s="115"/>
      <c r="R647" s="92"/>
      <c r="S647"/>
      <c r="T647"/>
      <c r="U647"/>
      <c r="V647"/>
      <c r="W647"/>
      <c r="X647"/>
      <c r="Y647"/>
      <c r="Z647"/>
      <c r="AA647"/>
      <c r="AB647"/>
      <c r="AC647"/>
    </row>
    <row r="648" spans="1:29" x14ac:dyDescent="0.25">
      <c r="A648"/>
      <c r="B648"/>
      <c r="C648" s="92"/>
      <c r="L648" s="92"/>
      <c r="M648" s="92"/>
      <c r="Q648" s="115"/>
      <c r="R648" s="92"/>
      <c r="S648"/>
      <c r="T648"/>
      <c r="U648"/>
      <c r="V648"/>
      <c r="W648"/>
      <c r="X648"/>
      <c r="Y648"/>
      <c r="Z648"/>
      <c r="AA648"/>
      <c r="AB648"/>
      <c r="AC648"/>
    </row>
    <row r="649" spans="1:29" x14ac:dyDescent="0.25">
      <c r="A649"/>
      <c r="B649"/>
      <c r="C649" s="92"/>
      <c r="L649" s="92"/>
      <c r="M649" s="92"/>
      <c r="Q649" s="115"/>
      <c r="R649" s="92"/>
      <c r="S649"/>
      <c r="T649"/>
      <c r="U649"/>
      <c r="V649"/>
      <c r="W649"/>
      <c r="X649"/>
      <c r="Y649"/>
      <c r="Z649"/>
      <c r="AA649"/>
      <c r="AB649"/>
      <c r="AC649"/>
    </row>
    <row r="650" spans="1:29" x14ac:dyDescent="0.25">
      <c r="A650"/>
      <c r="B650"/>
      <c r="C650" s="92"/>
      <c r="L650" s="92"/>
      <c r="M650" s="92"/>
      <c r="Q650" s="115"/>
      <c r="R650" s="92"/>
      <c r="S650"/>
      <c r="T650"/>
      <c r="U650"/>
      <c r="V650"/>
      <c r="W650"/>
      <c r="X650"/>
      <c r="Y650"/>
      <c r="Z650"/>
      <c r="AA650"/>
      <c r="AB650"/>
      <c r="AC650"/>
    </row>
    <row r="651" spans="1:29" x14ac:dyDescent="0.25">
      <c r="A651"/>
      <c r="B651"/>
      <c r="C651" s="92"/>
      <c r="L651" s="92"/>
      <c r="M651" s="92"/>
      <c r="Q651" s="115"/>
      <c r="R651" s="92"/>
      <c r="S651"/>
      <c r="T651"/>
      <c r="U651"/>
      <c r="V651"/>
      <c r="W651"/>
      <c r="X651"/>
      <c r="Y651"/>
      <c r="Z651"/>
      <c r="AA651"/>
      <c r="AB651"/>
      <c r="AC651"/>
    </row>
    <row r="652" spans="1:29" x14ac:dyDescent="0.25">
      <c r="A652"/>
      <c r="B652"/>
      <c r="C652" s="92"/>
      <c r="L652" s="92"/>
      <c r="M652" s="92"/>
      <c r="Q652" s="115"/>
      <c r="R652" s="92"/>
      <c r="S652"/>
      <c r="T652"/>
      <c r="U652"/>
      <c r="V652"/>
      <c r="W652"/>
      <c r="X652"/>
      <c r="Y652"/>
      <c r="Z652"/>
      <c r="AA652"/>
      <c r="AB652"/>
      <c r="AC652"/>
    </row>
    <row r="653" spans="1:29" x14ac:dyDescent="0.25">
      <c r="A653"/>
      <c r="B653"/>
      <c r="C653" s="92"/>
      <c r="L653" s="92"/>
      <c r="M653" s="92"/>
      <c r="Q653" s="115"/>
      <c r="R653" s="92"/>
      <c r="S653"/>
      <c r="T653"/>
      <c r="U653"/>
      <c r="V653"/>
      <c r="W653"/>
      <c r="X653"/>
      <c r="Y653"/>
      <c r="Z653"/>
      <c r="AA653"/>
      <c r="AB653"/>
      <c r="AC653"/>
    </row>
    <row r="654" spans="1:29" x14ac:dyDescent="0.25">
      <c r="A654"/>
      <c r="B654"/>
      <c r="C654" s="92"/>
      <c r="L654" s="92"/>
      <c r="M654" s="92"/>
      <c r="Q654" s="115"/>
      <c r="R654" s="92"/>
      <c r="S654"/>
      <c r="T654"/>
      <c r="U654"/>
      <c r="V654"/>
      <c r="W654"/>
      <c r="X654"/>
      <c r="Y654"/>
      <c r="Z654"/>
      <c r="AA654"/>
      <c r="AB654"/>
      <c r="AC654"/>
    </row>
    <row r="655" spans="1:29" x14ac:dyDescent="0.25">
      <c r="A655"/>
      <c r="B655"/>
      <c r="C655" s="92"/>
      <c r="L655" s="92"/>
      <c r="M655" s="92"/>
      <c r="Q655" s="115"/>
      <c r="R655" s="92"/>
      <c r="S655"/>
      <c r="T655"/>
      <c r="U655"/>
      <c r="V655"/>
      <c r="W655"/>
      <c r="X655"/>
      <c r="Y655"/>
      <c r="Z655"/>
      <c r="AA655"/>
      <c r="AB655"/>
      <c r="AC655"/>
    </row>
    <row r="656" spans="1:29" x14ac:dyDescent="0.25">
      <c r="A656"/>
      <c r="B656"/>
      <c r="C656" s="92"/>
      <c r="L656" s="92"/>
      <c r="M656" s="92"/>
      <c r="Q656" s="115"/>
      <c r="R656" s="92"/>
      <c r="S656"/>
      <c r="T656"/>
      <c r="U656"/>
      <c r="V656"/>
      <c r="W656"/>
      <c r="X656"/>
      <c r="Y656"/>
      <c r="Z656"/>
      <c r="AA656"/>
      <c r="AB656"/>
      <c r="AC656"/>
    </row>
    <row r="657" spans="1:29" x14ac:dyDescent="0.25">
      <c r="A657"/>
      <c r="B657"/>
      <c r="C657" s="92"/>
      <c r="L657" s="92"/>
      <c r="M657" s="92"/>
      <c r="Q657" s="115"/>
      <c r="R657" s="92"/>
      <c r="S657"/>
      <c r="T657"/>
      <c r="U657"/>
      <c r="V657"/>
      <c r="W657"/>
      <c r="X657"/>
      <c r="Y657"/>
      <c r="Z657"/>
      <c r="AA657"/>
      <c r="AB657"/>
      <c r="AC657"/>
    </row>
    <row r="658" spans="1:29" x14ac:dyDescent="0.25">
      <c r="A658"/>
      <c r="B658"/>
      <c r="C658" s="92"/>
      <c r="L658" s="92"/>
      <c r="M658" s="92"/>
      <c r="Q658" s="115"/>
      <c r="R658" s="92"/>
      <c r="S658"/>
      <c r="T658"/>
      <c r="U658"/>
      <c r="V658"/>
      <c r="W658"/>
      <c r="X658"/>
      <c r="Y658"/>
      <c r="Z658"/>
      <c r="AA658"/>
      <c r="AB658"/>
      <c r="AC658"/>
    </row>
    <row r="659" spans="1:29" x14ac:dyDescent="0.25">
      <c r="A659"/>
      <c r="B659"/>
      <c r="C659" s="92"/>
      <c r="L659" s="92"/>
      <c r="M659" s="92"/>
      <c r="Q659" s="115"/>
      <c r="R659" s="92"/>
      <c r="S659"/>
      <c r="T659"/>
      <c r="U659"/>
      <c r="V659"/>
      <c r="W659"/>
      <c r="X659"/>
      <c r="Y659"/>
      <c r="Z659"/>
      <c r="AA659"/>
      <c r="AB659"/>
      <c r="AC659"/>
    </row>
    <row r="660" spans="1:29" x14ac:dyDescent="0.25">
      <c r="A660"/>
      <c r="B660"/>
      <c r="C660" s="92"/>
      <c r="L660" s="92"/>
      <c r="M660" s="92"/>
      <c r="Q660" s="115"/>
      <c r="R660" s="92"/>
      <c r="S660"/>
      <c r="T660"/>
      <c r="U660"/>
      <c r="V660"/>
      <c r="W660"/>
      <c r="X660"/>
      <c r="Y660"/>
      <c r="Z660"/>
      <c r="AA660"/>
      <c r="AB660"/>
      <c r="AC660"/>
    </row>
    <row r="661" spans="1:29" x14ac:dyDescent="0.25">
      <c r="A661"/>
      <c r="B661"/>
      <c r="C661" s="92"/>
      <c r="L661" s="92"/>
      <c r="M661" s="92"/>
      <c r="Q661" s="115"/>
      <c r="R661" s="92"/>
      <c r="S661"/>
      <c r="T661"/>
      <c r="U661"/>
      <c r="V661"/>
      <c r="W661"/>
      <c r="X661"/>
      <c r="Y661"/>
      <c r="Z661"/>
      <c r="AA661"/>
      <c r="AB661"/>
      <c r="AC661"/>
    </row>
    <row r="662" spans="1:29" x14ac:dyDescent="0.25">
      <c r="A662"/>
      <c r="B662"/>
      <c r="C662" s="92"/>
      <c r="L662" s="92"/>
      <c r="M662" s="92"/>
      <c r="Q662" s="115"/>
      <c r="R662" s="92"/>
      <c r="S662"/>
      <c r="T662"/>
      <c r="U662"/>
      <c r="V662"/>
      <c r="W662"/>
      <c r="X662"/>
      <c r="Y662"/>
      <c r="Z662"/>
      <c r="AA662"/>
      <c r="AB662"/>
      <c r="AC662"/>
    </row>
    <row r="663" spans="1:29" x14ac:dyDescent="0.25">
      <c r="A663"/>
      <c r="B663"/>
      <c r="C663" s="92"/>
      <c r="L663" s="92"/>
      <c r="M663" s="92"/>
      <c r="Q663" s="115"/>
      <c r="R663" s="92"/>
      <c r="S663"/>
      <c r="T663"/>
      <c r="U663"/>
      <c r="V663"/>
      <c r="W663"/>
      <c r="X663"/>
      <c r="Y663"/>
      <c r="Z663"/>
      <c r="AA663"/>
      <c r="AB663"/>
      <c r="AC663"/>
    </row>
    <row r="664" spans="1:29" x14ac:dyDescent="0.25">
      <c r="A664"/>
      <c r="B664"/>
      <c r="C664" s="92"/>
      <c r="L664" s="92"/>
      <c r="M664" s="92"/>
      <c r="Q664" s="115"/>
      <c r="R664" s="92"/>
      <c r="S664"/>
      <c r="T664"/>
      <c r="U664"/>
      <c r="V664"/>
      <c r="W664"/>
      <c r="X664"/>
      <c r="Y664"/>
      <c r="Z664"/>
      <c r="AA664"/>
      <c r="AB664"/>
      <c r="AC664"/>
    </row>
    <row r="665" spans="1:29" x14ac:dyDescent="0.25">
      <c r="A665"/>
      <c r="B665"/>
      <c r="C665" s="92"/>
      <c r="L665" s="92"/>
      <c r="M665" s="92"/>
      <c r="Q665" s="115"/>
      <c r="R665" s="92"/>
      <c r="S665"/>
      <c r="T665"/>
      <c r="U665"/>
      <c r="V665"/>
      <c r="W665"/>
      <c r="X665"/>
      <c r="Y665"/>
      <c r="Z665"/>
      <c r="AA665"/>
      <c r="AB665"/>
      <c r="AC665"/>
    </row>
    <row r="666" spans="1:29" x14ac:dyDescent="0.25">
      <c r="A666"/>
      <c r="B666"/>
      <c r="C666" s="92"/>
      <c r="L666" s="92"/>
      <c r="M666" s="92"/>
      <c r="Q666" s="115"/>
      <c r="R666" s="92"/>
      <c r="S666"/>
      <c r="T666"/>
      <c r="U666"/>
      <c r="V666"/>
      <c r="W666"/>
      <c r="X666"/>
      <c r="Y666"/>
      <c r="Z666"/>
      <c r="AA666"/>
      <c r="AB666"/>
      <c r="AC666"/>
    </row>
    <row r="667" spans="1:29" x14ac:dyDescent="0.25">
      <c r="A667"/>
      <c r="B667"/>
      <c r="C667" s="92"/>
      <c r="L667" s="92"/>
      <c r="M667" s="92"/>
      <c r="Q667" s="115"/>
      <c r="R667" s="92"/>
      <c r="S667"/>
      <c r="T667"/>
      <c r="U667"/>
      <c r="V667"/>
      <c r="W667"/>
      <c r="X667"/>
      <c r="Y667"/>
      <c r="Z667"/>
      <c r="AA667"/>
      <c r="AB667"/>
      <c r="AC667"/>
    </row>
    <row r="668" spans="1:29" x14ac:dyDescent="0.25">
      <c r="A668"/>
      <c r="B668"/>
      <c r="C668" s="92"/>
      <c r="L668" s="92"/>
      <c r="M668" s="92"/>
      <c r="Q668" s="115"/>
      <c r="R668" s="92"/>
      <c r="S668"/>
      <c r="T668"/>
      <c r="U668"/>
      <c r="V668"/>
      <c r="W668"/>
      <c r="X668"/>
      <c r="Y668"/>
      <c r="Z668"/>
      <c r="AA668"/>
      <c r="AB668"/>
      <c r="AC668"/>
    </row>
    <row r="669" spans="1:29" x14ac:dyDescent="0.25">
      <c r="A669"/>
      <c r="B669"/>
      <c r="C669" s="92"/>
      <c r="L669" s="92"/>
      <c r="M669" s="92"/>
      <c r="Q669" s="115"/>
      <c r="R669" s="92"/>
      <c r="S669"/>
      <c r="T669"/>
      <c r="U669"/>
      <c r="V669"/>
      <c r="W669"/>
      <c r="X669"/>
      <c r="Y669"/>
      <c r="Z669"/>
      <c r="AA669"/>
      <c r="AB669"/>
      <c r="AC669"/>
    </row>
    <row r="670" spans="1:29" x14ac:dyDescent="0.25">
      <c r="A670"/>
      <c r="B670"/>
      <c r="C670" s="92"/>
      <c r="L670" s="92"/>
      <c r="M670" s="92"/>
      <c r="Q670" s="115"/>
      <c r="R670" s="92"/>
      <c r="S670"/>
      <c r="T670"/>
      <c r="U670"/>
      <c r="V670"/>
      <c r="W670"/>
      <c r="X670"/>
      <c r="Y670"/>
      <c r="Z670"/>
      <c r="AA670"/>
      <c r="AB670"/>
      <c r="AC670"/>
    </row>
    <row r="671" spans="1:29" x14ac:dyDescent="0.25">
      <c r="A671"/>
      <c r="B671"/>
      <c r="C671" s="92"/>
      <c r="L671" s="92"/>
      <c r="M671" s="92"/>
      <c r="Q671" s="115"/>
      <c r="R671" s="92"/>
      <c r="S671"/>
      <c r="T671"/>
      <c r="U671"/>
      <c r="V671"/>
      <c r="W671"/>
      <c r="X671"/>
      <c r="Y671"/>
      <c r="Z671"/>
      <c r="AA671"/>
      <c r="AB671"/>
      <c r="AC671"/>
    </row>
    <row r="672" spans="1:29" x14ac:dyDescent="0.25">
      <c r="A672"/>
      <c r="B672"/>
      <c r="C672" s="92"/>
      <c r="L672" s="92"/>
      <c r="M672" s="92"/>
      <c r="Q672" s="115"/>
      <c r="R672" s="92"/>
      <c r="S672"/>
      <c r="T672"/>
      <c r="U672"/>
      <c r="V672"/>
      <c r="W672"/>
      <c r="X672"/>
      <c r="Y672"/>
      <c r="Z672"/>
      <c r="AA672"/>
      <c r="AB672"/>
      <c r="AC672"/>
    </row>
    <row r="673" spans="1:29" x14ac:dyDescent="0.25">
      <c r="A673"/>
      <c r="B673"/>
      <c r="C673" s="92"/>
      <c r="L673" s="92"/>
      <c r="M673" s="92"/>
      <c r="Q673" s="115"/>
      <c r="R673" s="92"/>
      <c r="S673"/>
      <c r="T673"/>
      <c r="U673"/>
      <c r="V673"/>
      <c r="W673"/>
      <c r="X673"/>
      <c r="Y673"/>
      <c r="Z673"/>
      <c r="AA673"/>
      <c r="AB673"/>
      <c r="AC673"/>
    </row>
    <row r="674" spans="1:29" x14ac:dyDescent="0.25">
      <c r="A674"/>
      <c r="B674"/>
      <c r="C674" s="92"/>
      <c r="L674" s="92"/>
      <c r="M674" s="92"/>
      <c r="Q674" s="115"/>
      <c r="R674" s="92"/>
      <c r="S674"/>
      <c r="T674"/>
      <c r="U674"/>
      <c r="V674"/>
      <c r="W674"/>
      <c r="X674"/>
      <c r="Y674"/>
      <c r="Z674"/>
      <c r="AA674"/>
      <c r="AB674"/>
      <c r="AC674"/>
    </row>
    <row r="675" spans="1:29" x14ac:dyDescent="0.25">
      <c r="A675"/>
      <c r="B675"/>
      <c r="C675" s="92"/>
      <c r="L675" s="92"/>
      <c r="M675" s="92"/>
      <c r="Q675" s="115"/>
      <c r="R675" s="92"/>
      <c r="S675"/>
      <c r="T675"/>
      <c r="U675"/>
      <c r="V675"/>
      <c r="W675"/>
      <c r="X675"/>
      <c r="Y675"/>
      <c r="Z675"/>
      <c r="AA675"/>
      <c r="AB675"/>
      <c r="AC675"/>
    </row>
    <row r="676" spans="1:29" x14ac:dyDescent="0.25">
      <c r="A676"/>
      <c r="B676"/>
      <c r="C676" s="92"/>
      <c r="L676" s="92"/>
      <c r="M676" s="92"/>
      <c r="Q676" s="115"/>
      <c r="R676" s="92"/>
      <c r="S676"/>
      <c r="T676"/>
      <c r="U676"/>
      <c r="V676"/>
      <c r="W676"/>
      <c r="X676"/>
      <c r="Y676"/>
      <c r="Z676"/>
      <c r="AA676"/>
      <c r="AB676"/>
      <c r="AC676"/>
    </row>
    <row r="677" spans="1:29" x14ac:dyDescent="0.25">
      <c r="A677"/>
      <c r="B677"/>
      <c r="C677" s="92"/>
      <c r="L677" s="92"/>
      <c r="M677" s="92"/>
      <c r="Q677" s="115"/>
      <c r="R677" s="92"/>
      <c r="S677"/>
      <c r="T677"/>
      <c r="U677"/>
      <c r="V677"/>
      <c r="W677"/>
      <c r="X677"/>
      <c r="Y677"/>
      <c r="Z677"/>
      <c r="AA677"/>
      <c r="AB677"/>
      <c r="AC677"/>
    </row>
    <row r="678" spans="1:29" x14ac:dyDescent="0.25">
      <c r="A678"/>
      <c r="B678"/>
      <c r="C678" s="92"/>
      <c r="L678" s="92"/>
      <c r="M678" s="92"/>
      <c r="Q678" s="115"/>
      <c r="R678" s="92"/>
      <c r="S678"/>
      <c r="T678"/>
      <c r="U678"/>
      <c r="V678"/>
      <c r="W678"/>
      <c r="X678"/>
      <c r="Y678"/>
      <c r="Z678"/>
      <c r="AA678"/>
      <c r="AB678"/>
      <c r="AC678"/>
    </row>
    <row r="679" spans="1:29" x14ac:dyDescent="0.25">
      <c r="A679"/>
      <c r="B679"/>
      <c r="C679" s="92"/>
      <c r="L679" s="92"/>
      <c r="M679" s="92"/>
      <c r="Q679" s="115"/>
      <c r="R679" s="92"/>
      <c r="S679"/>
      <c r="T679"/>
      <c r="U679"/>
      <c r="V679"/>
      <c r="W679"/>
      <c r="X679"/>
      <c r="Y679"/>
      <c r="Z679"/>
      <c r="AA679"/>
      <c r="AB679"/>
      <c r="AC679"/>
    </row>
    <row r="680" spans="1:29" x14ac:dyDescent="0.25">
      <c r="A680"/>
      <c r="B680"/>
      <c r="C680" s="92"/>
      <c r="L680" s="92"/>
      <c r="M680" s="92"/>
      <c r="Q680" s="115"/>
      <c r="R680" s="92"/>
      <c r="S680"/>
      <c r="T680"/>
      <c r="U680"/>
      <c r="V680"/>
      <c r="W680"/>
      <c r="X680"/>
      <c r="Y680"/>
      <c r="Z680"/>
      <c r="AA680"/>
      <c r="AB680"/>
      <c r="AC680"/>
    </row>
    <row r="681" spans="1:29" x14ac:dyDescent="0.25">
      <c r="A681"/>
      <c r="B681"/>
      <c r="C681" s="92"/>
      <c r="L681" s="92"/>
      <c r="M681" s="92"/>
      <c r="Q681" s="115"/>
      <c r="R681" s="92"/>
      <c r="S681"/>
      <c r="T681"/>
      <c r="U681"/>
      <c r="V681"/>
      <c r="W681"/>
      <c r="X681"/>
      <c r="Y681"/>
      <c r="Z681"/>
      <c r="AA681"/>
      <c r="AB681"/>
      <c r="AC681"/>
    </row>
    <row r="682" spans="1:29" x14ac:dyDescent="0.25">
      <c r="A682"/>
      <c r="B682"/>
      <c r="C682" s="92"/>
      <c r="L682" s="92"/>
      <c r="M682" s="92"/>
      <c r="Q682" s="115"/>
      <c r="R682" s="92"/>
      <c r="S682"/>
      <c r="T682"/>
      <c r="U682"/>
      <c r="V682"/>
      <c r="W682"/>
      <c r="X682"/>
      <c r="Y682"/>
      <c r="Z682"/>
      <c r="AA682"/>
      <c r="AB682"/>
      <c r="AC682"/>
    </row>
    <row r="683" spans="1:29" x14ac:dyDescent="0.25">
      <c r="A683"/>
      <c r="B683"/>
      <c r="C683" s="92"/>
      <c r="L683" s="92"/>
      <c r="M683" s="92"/>
      <c r="Q683" s="115"/>
      <c r="R683" s="92"/>
      <c r="S683"/>
      <c r="T683"/>
      <c r="U683"/>
      <c r="V683"/>
      <c r="W683"/>
      <c r="X683"/>
      <c r="Y683"/>
      <c r="Z683"/>
      <c r="AA683"/>
      <c r="AB683"/>
      <c r="AC683"/>
    </row>
    <row r="684" spans="1:29" x14ac:dyDescent="0.25">
      <c r="A684"/>
      <c r="B684"/>
      <c r="C684" s="92"/>
      <c r="L684" s="92"/>
      <c r="M684" s="92"/>
      <c r="Q684" s="115"/>
      <c r="R684" s="92"/>
      <c r="S684"/>
      <c r="T684"/>
      <c r="U684"/>
      <c r="V684"/>
      <c r="W684"/>
      <c r="X684"/>
      <c r="Y684"/>
      <c r="Z684"/>
      <c r="AA684"/>
      <c r="AB684"/>
      <c r="AC684"/>
    </row>
    <row r="685" spans="1:29" x14ac:dyDescent="0.25">
      <c r="A685"/>
      <c r="B685"/>
      <c r="C685" s="92"/>
      <c r="L685" s="92"/>
      <c r="M685" s="92"/>
      <c r="Q685" s="115"/>
      <c r="R685" s="92"/>
      <c r="S685"/>
      <c r="T685"/>
      <c r="U685"/>
      <c r="V685"/>
      <c r="W685"/>
      <c r="X685"/>
      <c r="Y685"/>
      <c r="Z685"/>
      <c r="AA685"/>
      <c r="AB685"/>
      <c r="AC685"/>
    </row>
    <row r="686" spans="1:29" x14ac:dyDescent="0.25">
      <c r="A686"/>
      <c r="B686"/>
      <c r="C686" s="92"/>
      <c r="L686" s="92"/>
      <c r="M686" s="92"/>
      <c r="Q686" s="115"/>
      <c r="R686" s="92"/>
      <c r="S686"/>
      <c r="T686"/>
      <c r="U686"/>
      <c r="V686"/>
      <c r="W686"/>
      <c r="X686"/>
      <c r="Y686"/>
      <c r="Z686"/>
      <c r="AA686"/>
      <c r="AB686"/>
      <c r="AC686"/>
    </row>
    <row r="687" spans="1:29" x14ac:dyDescent="0.25">
      <c r="A687"/>
      <c r="B687"/>
      <c r="C687" s="92"/>
      <c r="L687" s="92"/>
      <c r="M687" s="92"/>
      <c r="Q687" s="115"/>
      <c r="R687" s="92"/>
      <c r="S687"/>
      <c r="T687"/>
      <c r="U687"/>
      <c r="V687"/>
      <c r="W687"/>
      <c r="X687"/>
      <c r="Y687"/>
      <c r="Z687"/>
      <c r="AA687"/>
      <c r="AB687"/>
      <c r="AC687"/>
    </row>
    <row r="688" spans="1:29" x14ac:dyDescent="0.25">
      <c r="A688"/>
      <c r="B688"/>
      <c r="C688" s="92"/>
      <c r="L688" s="92"/>
      <c r="M688" s="92"/>
      <c r="Q688" s="115"/>
      <c r="R688" s="92"/>
      <c r="S688"/>
      <c r="T688"/>
      <c r="U688"/>
      <c r="V688"/>
      <c r="W688"/>
      <c r="X688"/>
      <c r="Y688"/>
      <c r="Z688"/>
      <c r="AA688"/>
      <c r="AB688"/>
      <c r="AC688"/>
    </row>
    <row r="689" spans="1:29" x14ac:dyDescent="0.25">
      <c r="A689"/>
      <c r="B689"/>
      <c r="C689" s="92"/>
      <c r="L689" s="92"/>
      <c r="M689" s="92"/>
      <c r="Q689" s="115"/>
      <c r="R689" s="92"/>
      <c r="S689"/>
      <c r="T689"/>
      <c r="U689"/>
      <c r="V689"/>
      <c r="W689"/>
      <c r="X689"/>
      <c r="Y689"/>
      <c r="Z689"/>
      <c r="AA689"/>
      <c r="AB689"/>
      <c r="AC689"/>
    </row>
    <row r="690" spans="1:29" x14ac:dyDescent="0.25">
      <c r="A690"/>
      <c r="B690"/>
      <c r="C690" s="92"/>
      <c r="L690" s="92"/>
      <c r="M690" s="92"/>
      <c r="Q690" s="115"/>
      <c r="R690" s="92"/>
      <c r="S690"/>
      <c r="T690"/>
      <c r="U690"/>
      <c r="V690"/>
      <c r="W690"/>
      <c r="X690"/>
      <c r="Y690"/>
      <c r="Z690"/>
      <c r="AA690"/>
      <c r="AB690"/>
      <c r="AC690"/>
    </row>
    <row r="691" spans="1:29" x14ac:dyDescent="0.25">
      <c r="A691"/>
      <c r="B691"/>
      <c r="C691" s="92"/>
      <c r="L691" s="92"/>
      <c r="M691" s="92"/>
      <c r="Q691" s="115"/>
      <c r="R691" s="92"/>
      <c r="S691"/>
      <c r="T691"/>
      <c r="U691"/>
      <c r="V691"/>
      <c r="W691"/>
      <c r="X691"/>
      <c r="Y691"/>
      <c r="Z691"/>
      <c r="AA691"/>
      <c r="AB691"/>
      <c r="AC691"/>
    </row>
    <row r="692" spans="1:29" x14ac:dyDescent="0.25">
      <c r="A692"/>
      <c r="B692"/>
      <c r="C692" s="92"/>
      <c r="L692" s="92"/>
      <c r="M692" s="92"/>
      <c r="Q692" s="115"/>
      <c r="R692" s="92"/>
      <c r="S692"/>
      <c r="T692"/>
      <c r="U692"/>
      <c r="V692"/>
      <c r="W692"/>
      <c r="X692"/>
      <c r="Y692"/>
      <c r="Z692"/>
      <c r="AA692"/>
      <c r="AB692"/>
      <c r="AC692"/>
    </row>
    <row r="693" spans="1:29" x14ac:dyDescent="0.25">
      <c r="A693"/>
      <c r="B693"/>
      <c r="C693" s="92"/>
      <c r="L693" s="92"/>
      <c r="M693" s="92"/>
      <c r="Q693" s="115"/>
      <c r="R693" s="92"/>
      <c r="S693"/>
      <c r="T693"/>
      <c r="U693"/>
      <c r="V693"/>
      <c r="W693"/>
      <c r="X693"/>
      <c r="Y693"/>
      <c r="Z693"/>
      <c r="AA693"/>
      <c r="AB693"/>
      <c r="AC693"/>
    </row>
    <row r="694" spans="1:29" x14ac:dyDescent="0.25">
      <c r="A694"/>
      <c r="B694"/>
      <c r="C694" s="92"/>
      <c r="L694" s="92"/>
      <c r="M694" s="92"/>
      <c r="Q694" s="115"/>
      <c r="R694" s="92"/>
      <c r="S694"/>
      <c r="T694"/>
      <c r="U694"/>
      <c r="V694"/>
      <c r="W694"/>
      <c r="X694"/>
      <c r="Y694"/>
      <c r="Z694"/>
      <c r="AA694"/>
      <c r="AB694"/>
      <c r="AC694"/>
    </row>
    <row r="695" spans="1:29" x14ac:dyDescent="0.25">
      <c r="A695"/>
      <c r="B695"/>
      <c r="C695" s="92"/>
      <c r="L695" s="92"/>
      <c r="M695" s="92"/>
      <c r="Q695" s="115"/>
      <c r="R695" s="92"/>
      <c r="S695"/>
      <c r="T695"/>
      <c r="U695"/>
      <c r="V695"/>
      <c r="W695"/>
      <c r="X695"/>
      <c r="Y695"/>
      <c r="Z695"/>
      <c r="AA695"/>
      <c r="AB695"/>
      <c r="AC695"/>
    </row>
    <row r="696" spans="1:29" x14ac:dyDescent="0.25">
      <c r="A696"/>
      <c r="B696"/>
      <c r="C696" s="92"/>
      <c r="L696" s="92"/>
      <c r="M696" s="92"/>
      <c r="Q696" s="115"/>
      <c r="R696" s="92"/>
      <c r="S696"/>
      <c r="T696"/>
      <c r="U696"/>
      <c r="V696"/>
      <c r="W696"/>
      <c r="X696"/>
      <c r="Y696"/>
      <c r="Z696"/>
      <c r="AA696"/>
      <c r="AB696"/>
      <c r="AC696"/>
    </row>
    <row r="697" spans="1:29" x14ac:dyDescent="0.25">
      <c r="A697"/>
      <c r="B697"/>
      <c r="C697" s="92"/>
      <c r="L697" s="92"/>
      <c r="M697" s="92"/>
      <c r="Q697" s="115"/>
      <c r="R697" s="92"/>
      <c r="S697"/>
      <c r="T697"/>
      <c r="U697"/>
      <c r="V697"/>
      <c r="W697"/>
      <c r="X697"/>
      <c r="Y697"/>
      <c r="Z697"/>
      <c r="AA697"/>
      <c r="AB697"/>
      <c r="AC697"/>
    </row>
    <row r="698" spans="1:29" x14ac:dyDescent="0.25">
      <c r="A698"/>
      <c r="B698"/>
      <c r="C698" s="92"/>
      <c r="L698" s="92"/>
      <c r="M698" s="92"/>
      <c r="Q698" s="115"/>
      <c r="R698" s="92"/>
      <c r="S698"/>
      <c r="T698"/>
      <c r="U698"/>
      <c r="V698"/>
      <c r="W698"/>
      <c r="X698"/>
      <c r="Y698"/>
      <c r="Z698"/>
      <c r="AA698"/>
      <c r="AB698"/>
      <c r="AC698"/>
    </row>
    <row r="699" spans="1:29" x14ac:dyDescent="0.25">
      <c r="A699"/>
      <c r="B699"/>
      <c r="C699" s="92"/>
      <c r="L699" s="92"/>
      <c r="M699" s="92"/>
      <c r="Q699" s="115"/>
      <c r="R699" s="92"/>
      <c r="S699"/>
      <c r="T699"/>
      <c r="U699"/>
      <c r="V699"/>
      <c r="W699"/>
      <c r="X699"/>
      <c r="Y699"/>
      <c r="Z699"/>
      <c r="AA699"/>
      <c r="AB699"/>
      <c r="AC699"/>
    </row>
    <row r="700" spans="1:29" x14ac:dyDescent="0.25">
      <c r="A700"/>
      <c r="B700"/>
      <c r="C700" s="92"/>
      <c r="L700" s="92"/>
      <c r="M700" s="92"/>
      <c r="Q700" s="115"/>
      <c r="R700" s="92"/>
      <c r="S700"/>
      <c r="T700"/>
      <c r="U700"/>
      <c r="V700"/>
      <c r="W700"/>
      <c r="X700"/>
      <c r="Y700"/>
      <c r="Z700"/>
      <c r="AA700"/>
      <c r="AB700"/>
      <c r="AC700"/>
    </row>
    <row r="701" spans="1:29" x14ac:dyDescent="0.25">
      <c r="A701"/>
      <c r="B701"/>
      <c r="C701" s="92"/>
      <c r="L701" s="92"/>
      <c r="M701" s="92"/>
      <c r="Q701" s="115"/>
      <c r="R701" s="92"/>
      <c r="S701"/>
      <c r="T701"/>
      <c r="U701"/>
      <c r="V701"/>
      <c r="W701"/>
      <c r="X701"/>
      <c r="Y701"/>
      <c r="Z701"/>
      <c r="AA701"/>
      <c r="AB701"/>
      <c r="AC701"/>
    </row>
    <row r="702" spans="1:29" x14ac:dyDescent="0.25">
      <c r="A702"/>
      <c r="B702"/>
      <c r="C702" s="92"/>
      <c r="L702" s="92"/>
      <c r="M702" s="92"/>
      <c r="Q702" s="115"/>
      <c r="R702" s="92"/>
      <c r="S702"/>
      <c r="T702"/>
      <c r="U702"/>
      <c r="V702"/>
      <c r="W702"/>
      <c r="X702"/>
      <c r="Y702"/>
      <c r="Z702"/>
      <c r="AA702"/>
      <c r="AB702"/>
      <c r="AC702"/>
    </row>
    <row r="703" spans="1:29" x14ac:dyDescent="0.25">
      <c r="A703"/>
      <c r="B703"/>
      <c r="C703" s="92"/>
      <c r="L703" s="92"/>
      <c r="M703" s="92"/>
      <c r="Q703" s="115"/>
      <c r="R703" s="92"/>
      <c r="S703"/>
      <c r="T703"/>
      <c r="U703"/>
      <c r="V703"/>
      <c r="W703"/>
      <c r="X703"/>
      <c r="Y703"/>
      <c r="Z703"/>
      <c r="AA703"/>
      <c r="AB703"/>
      <c r="AC703"/>
    </row>
    <row r="704" spans="1:29" x14ac:dyDescent="0.25">
      <c r="A704"/>
      <c r="B704"/>
      <c r="C704" s="92"/>
      <c r="L704" s="92"/>
      <c r="M704" s="92"/>
      <c r="Q704" s="115"/>
      <c r="R704" s="92"/>
      <c r="S704"/>
      <c r="T704"/>
      <c r="U704"/>
      <c r="V704"/>
      <c r="W704"/>
      <c r="X704"/>
      <c r="Y704"/>
      <c r="Z704"/>
      <c r="AA704"/>
      <c r="AB704"/>
      <c r="AC704"/>
    </row>
    <row r="705" spans="1:29" x14ac:dyDescent="0.25">
      <c r="A705"/>
      <c r="B705"/>
      <c r="C705" s="92"/>
      <c r="L705" s="92"/>
      <c r="M705" s="92"/>
      <c r="Q705" s="115"/>
      <c r="R705" s="92"/>
      <c r="S705"/>
      <c r="T705"/>
      <c r="U705"/>
      <c r="V705"/>
      <c r="W705"/>
      <c r="X705"/>
      <c r="Y705"/>
      <c r="Z705"/>
      <c r="AA705"/>
      <c r="AB705"/>
      <c r="AC705"/>
    </row>
    <row r="706" spans="1:29" x14ac:dyDescent="0.25">
      <c r="A706"/>
      <c r="B706"/>
      <c r="C706" s="92"/>
      <c r="L706" s="92"/>
      <c r="M706" s="92"/>
      <c r="Q706" s="115"/>
      <c r="R706" s="92"/>
      <c r="S706"/>
      <c r="T706"/>
      <c r="U706"/>
      <c r="V706"/>
      <c r="W706"/>
      <c r="X706"/>
      <c r="Y706"/>
      <c r="Z706"/>
      <c r="AA706"/>
      <c r="AB706"/>
      <c r="AC706"/>
    </row>
    <row r="707" spans="1:29" x14ac:dyDescent="0.25">
      <c r="A707"/>
      <c r="B707"/>
      <c r="C707" s="92"/>
      <c r="L707" s="92"/>
      <c r="M707" s="92"/>
      <c r="Q707" s="115"/>
      <c r="R707" s="92"/>
      <c r="S707"/>
      <c r="T707"/>
      <c r="U707"/>
      <c r="V707"/>
      <c r="W707"/>
      <c r="X707"/>
      <c r="Y707"/>
      <c r="Z707"/>
      <c r="AA707"/>
      <c r="AB707"/>
      <c r="AC707"/>
    </row>
    <row r="708" spans="1:29" x14ac:dyDescent="0.25">
      <c r="A708"/>
      <c r="B708"/>
      <c r="C708" s="92"/>
      <c r="L708" s="92"/>
      <c r="M708" s="92"/>
      <c r="Q708" s="115"/>
      <c r="R708" s="92"/>
      <c r="S708"/>
      <c r="T708"/>
      <c r="U708"/>
      <c r="V708"/>
      <c r="W708"/>
      <c r="X708"/>
      <c r="Y708"/>
      <c r="Z708"/>
      <c r="AA708"/>
      <c r="AB708"/>
      <c r="AC708"/>
    </row>
    <row r="709" spans="1:29" x14ac:dyDescent="0.25">
      <c r="A709"/>
      <c r="B709"/>
      <c r="C709" s="92"/>
      <c r="L709" s="92"/>
      <c r="M709" s="92"/>
      <c r="Q709" s="115"/>
      <c r="R709" s="92"/>
      <c r="S709"/>
      <c r="T709"/>
      <c r="U709"/>
      <c r="V709"/>
      <c r="W709"/>
      <c r="X709"/>
      <c r="Y709"/>
      <c r="Z709"/>
      <c r="AA709"/>
      <c r="AB709"/>
      <c r="AC709"/>
    </row>
    <row r="710" spans="1:29" x14ac:dyDescent="0.25">
      <c r="A710"/>
      <c r="B710"/>
      <c r="C710" s="92"/>
      <c r="L710" s="92"/>
      <c r="M710" s="92"/>
      <c r="Q710" s="115"/>
      <c r="R710" s="92"/>
      <c r="S710"/>
      <c r="T710"/>
      <c r="U710"/>
      <c r="V710"/>
      <c r="W710"/>
      <c r="X710"/>
      <c r="Y710"/>
      <c r="Z710"/>
      <c r="AA710"/>
      <c r="AB710"/>
      <c r="AC710"/>
    </row>
    <row r="711" spans="1:29" x14ac:dyDescent="0.25">
      <c r="A711"/>
      <c r="B711"/>
      <c r="C711" s="92"/>
      <c r="L711" s="92"/>
      <c r="M711" s="92"/>
      <c r="Q711" s="115"/>
      <c r="R711" s="92"/>
      <c r="S711"/>
      <c r="T711"/>
      <c r="U711"/>
      <c r="V711"/>
      <c r="W711"/>
      <c r="X711"/>
      <c r="Y711"/>
      <c r="Z711"/>
      <c r="AA711"/>
      <c r="AB711"/>
      <c r="AC711"/>
    </row>
    <row r="712" spans="1:29" x14ac:dyDescent="0.25">
      <c r="A712"/>
      <c r="B712"/>
      <c r="C712" s="92"/>
      <c r="L712" s="92"/>
      <c r="M712" s="92"/>
      <c r="Q712" s="115"/>
      <c r="R712" s="92"/>
      <c r="S712"/>
      <c r="T712"/>
      <c r="U712"/>
      <c r="V712"/>
      <c r="W712"/>
      <c r="X712"/>
      <c r="Y712"/>
      <c r="Z712"/>
      <c r="AA712"/>
      <c r="AB712"/>
      <c r="AC712"/>
    </row>
    <row r="713" spans="1:29" x14ac:dyDescent="0.25">
      <c r="A713"/>
      <c r="B713"/>
      <c r="C713" s="92"/>
      <c r="L713" s="92"/>
      <c r="M713" s="92"/>
      <c r="Q713" s="115"/>
      <c r="R713" s="92"/>
      <c r="S713"/>
      <c r="T713"/>
      <c r="U713"/>
      <c r="V713"/>
      <c r="W713"/>
      <c r="X713"/>
      <c r="Y713"/>
      <c r="Z713"/>
      <c r="AA713"/>
      <c r="AB713"/>
      <c r="AC713"/>
    </row>
    <row r="714" spans="1:29" x14ac:dyDescent="0.25">
      <c r="A714"/>
      <c r="B714"/>
      <c r="C714" s="92"/>
      <c r="L714" s="92"/>
      <c r="M714" s="92"/>
      <c r="Q714" s="115"/>
      <c r="R714" s="92"/>
      <c r="S714"/>
      <c r="T714"/>
      <c r="U714"/>
      <c r="V714"/>
      <c r="W714"/>
      <c r="X714"/>
      <c r="Y714"/>
      <c r="Z714"/>
      <c r="AA714"/>
      <c r="AB714"/>
      <c r="AC714"/>
    </row>
    <row r="715" spans="1:29" x14ac:dyDescent="0.25">
      <c r="A715"/>
      <c r="B715"/>
      <c r="C715" s="92"/>
      <c r="L715" s="92"/>
      <c r="M715" s="92"/>
      <c r="Q715" s="115"/>
      <c r="R715" s="92"/>
      <c r="S715"/>
      <c r="T715"/>
      <c r="U715"/>
      <c r="V715"/>
      <c r="W715"/>
      <c r="X715"/>
      <c r="Y715"/>
      <c r="Z715"/>
      <c r="AA715"/>
      <c r="AB715"/>
      <c r="AC715"/>
    </row>
    <row r="716" spans="1:29" x14ac:dyDescent="0.25">
      <c r="A716"/>
      <c r="B716"/>
      <c r="C716" s="92"/>
      <c r="L716" s="92"/>
      <c r="M716" s="92"/>
      <c r="Q716" s="115"/>
      <c r="R716" s="92"/>
      <c r="S716"/>
      <c r="T716"/>
      <c r="U716"/>
      <c r="V716"/>
      <c r="W716"/>
      <c r="X716"/>
      <c r="Y716"/>
      <c r="Z716"/>
      <c r="AA716"/>
      <c r="AB716"/>
      <c r="AC716"/>
    </row>
    <row r="717" spans="1:29" x14ac:dyDescent="0.25">
      <c r="A717"/>
      <c r="B717"/>
      <c r="C717" s="92"/>
      <c r="L717" s="92"/>
      <c r="M717" s="92"/>
      <c r="Q717" s="115"/>
      <c r="R717" s="92"/>
      <c r="S717"/>
      <c r="T717"/>
      <c r="U717"/>
      <c r="V717"/>
      <c r="W717"/>
      <c r="X717"/>
      <c r="Y717"/>
      <c r="Z717"/>
      <c r="AA717"/>
      <c r="AB717"/>
      <c r="AC717"/>
    </row>
    <row r="718" spans="1:29" x14ac:dyDescent="0.25">
      <c r="A718"/>
      <c r="B718"/>
      <c r="C718" s="92"/>
      <c r="L718" s="92"/>
      <c r="M718" s="92"/>
      <c r="Q718" s="115"/>
      <c r="R718" s="92"/>
      <c r="S718"/>
      <c r="T718"/>
      <c r="U718"/>
      <c r="V718"/>
      <c r="W718"/>
      <c r="X718"/>
      <c r="Y718"/>
      <c r="Z718"/>
      <c r="AA718"/>
      <c r="AB718"/>
      <c r="AC718"/>
    </row>
    <row r="719" spans="1:29" x14ac:dyDescent="0.25">
      <c r="A719"/>
      <c r="B719"/>
      <c r="C719" s="92"/>
      <c r="L719" s="92"/>
      <c r="M719" s="92"/>
      <c r="Q719" s="115"/>
      <c r="R719" s="92"/>
      <c r="S719"/>
      <c r="T719"/>
      <c r="U719"/>
      <c r="V719"/>
      <c r="W719"/>
      <c r="X719"/>
      <c r="Y719"/>
      <c r="Z719"/>
      <c r="AA719"/>
      <c r="AB719"/>
      <c r="AC719"/>
    </row>
    <row r="720" spans="1:29" x14ac:dyDescent="0.25">
      <c r="A720"/>
      <c r="B720"/>
      <c r="C720" s="92"/>
      <c r="L720" s="92"/>
      <c r="M720" s="92"/>
      <c r="Q720" s="115"/>
      <c r="R720" s="92"/>
      <c r="S720"/>
      <c r="T720"/>
      <c r="U720"/>
      <c r="V720"/>
      <c r="W720"/>
      <c r="X720"/>
      <c r="Y720"/>
      <c r="Z720"/>
      <c r="AA720"/>
      <c r="AB720"/>
      <c r="AC720"/>
    </row>
    <row r="721" spans="1:29" x14ac:dyDescent="0.25">
      <c r="A721"/>
      <c r="B721"/>
      <c r="C721" s="92"/>
      <c r="L721" s="92"/>
      <c r="M721" s="92"/>
      <c r="Q721" s="115"/>
      <c r="R721" s="92"/>
      <c r="S721"/>
      <c r="T721"/>
      <c r="U721"/>
      <c r="V721"/>
      <c r="W721"/>
      <c r="X721"/>
      <c r="Y721"/>
      <c r="Z721"/>
      <c r="AA721"/>
      <c r="AB721"/>
      <c r="AC721"/>
    </row>
    <row r="722" spans="1:29" x14ac:dyDescent="0.25">
      <c r="A722"/>
      <c r="B722"/>
      <c r="C722" s="92"/>
      <c r="L722" s="92"/>
      <c r="M722" s="92"/>
      <c r="Q722" s="115"/>
      <c r="R722" s="92"/>
      <c r="S722"/>
      <c r="T722"/>
      <c r="U722"/>
      <c r="V722"/>
      <c r="W722"/>
      <c r="X722"/>
      <c r="Y722"/>
      <c r="Z722"/>
      <c r="AA722"/>
      <c r="AB722"/>
      <c r="AC722"/>
    </row>
    <row r="723" spans="1:29" x14ac:dyDescent="0.25">
      <c r="A723"/>
      <c r="B723"/>
      <c r="C723" s="92"/>
      <c r="L723" s="92"/>
      <c r="M723" s="92"/>
      <c r="Q723" s="115"/>
      <c r="R723" s="92"/>
      <c r="S723"/>
      <c r="T723"/>
      <c r="U723"/>
      <c r="V723"/>
      <c r="W723"/>
      <c r="X723"/>
      <c r="Y723"/>
      <c r="Z723"/>
      <c r="AA723"/>
      <c r="AB723"/>
      <c r="AC723"/>
    </row>
    <row r="724" spans="1:29" x14ac:dyDescent="0.25">
      <c r="A724"/>
      <c r="B724"/>
      <c r="C724" s="92"/>
      <c r="L724" s="92"/>
      <c r="M724" s="92"/>
      <c r="Q724" s="115"/>
      <c r="R724" s="92"/>
      <c r="S724"/>
      <c r="T724"/>
      <c r="U724"/>
      <c r="V724"/>
      <c r="W724"/>
      <c r="X724"/>
      <c r="Y724"/>
      <c r="Z724"/>
      <c r="AA724"/>
      <c r="AB724"/>
      <c r="AC724"/>
    </row>
    <row r="725" spans="1:29" x14ac:dyDescent="0.25">
      <c r="A725"/>
      <c r="B725"/>
      <c r="C725" s="92"/>
      <c r="L725" s="92"/>
      <c r="M725" s="92"/>
      <c r="Q725" s="115"/>
      <c r="R725" s="92"/>
      <c r="S725"/>
      <c r="T725"/>
      <c r="U725"/>
      <c r="V725"/>
      <c r="W725"/>
      <c r="X725"/>
      <c r="Y725"/>
      <c r="Z725"/>
      <c r="AA725"/>
      <c r="AB725"/>
      <c r="AC725"/>
    </row>
    <row r="726" spans="1:29" x14ac:dyDescent="0.25">
      <c r="A726"/>
      <c r="B726"/>
      <c r="C726" s="92"/>
      <c r="L726" s="92"/>
      <c r="M726" s="92"/>
      <c r="Q726" s="115"/>
      <c r="R726" s="92"/>
      <c r="S726"/>
      <c r="T726"/>
      <c r="U726"/>
      <c r="V726"/>
      <c r="W726"/>
      <c r="X726"/>
      <c r="Y726"/>
      <c r="Z726"/>
      <c r="AA726"/>
      <c r="AB726"/>
      <c r="AC726"/>
    </row>
    <row r="727" spans="1:29" x14ac:dyDescent="0.25">
      <c r="A727"/>
      <c r="B727"/>
      <c r="C727" s="92"/>
      <c r="L727" s="92"/>
      <c r="M727" s="92"/>
      <c r="Q727" s="115"/>
      <c r="R727" s="92"/>
      <c r="S727"/>
      <c r="T727"/>
      <c r="U727"/>
      <c r="V727"/>
      <c r="W727"/>
      <c r="X727"/>
      <c r="Y727"/>
      <c r="Z727"/>
      <c r="AA727"/>
      <c r="AB727"/>
      <c r="AC727"/>
    </row>
    <row r="728" spans="1:29" x14ac:dyDescent="0.25">
      <c r="A728"/>
      <c r="B728"/>
      <c r="C728" s="92"/>
      <c r="L728" s="92"/>
      <c r="M728" s="92"/>
      <c r="Q728" s="115"/>
      <c r="R728" s="92"/>
      <c r="S728"/>
      <c r="T728"/>
      <c r="U728"/>
      <c r="V728"/>
      <c r="W728"/>
      <c r="X728"/>
      <c r="Y728"/>
      <c r="Z728"/>
      <c r="AA728"/>
      <c r="AB728"/>
      <c r="AC728"/>
    </row>
    <row r="729" spans="1:29" x14ac:dyDescent="0.25">
      <c r="A729"/>
      <c r="B729"/>
      <c r="C729" s="92"/>
      <c r="L729" s="92"/>
      <c r="M729" s="92"/>
      <c r="Q729" s="115"/>
      <c r="R729" s="92"/>
      <c r="S729"/>
      <c r="T729"/>
      <c r="U729"/>
      <c r="V729"/>
      <c r="W729"/>
      <c r="X729"/>
      <c r="Y729"/>
      <c r="Z729"/>
      <c r="AA729"/>
      <c r="AB729"/>
      <c r="AC729"/>
    </row>
    <row r="730" spans="1:29" x14ac:dyDescent="0.25">
      <c r="A730"/>
      <c r="B730"/>
      <c r="C730" s="92"/>
      <c r="L730" s="92"/>
      <c r="M730" s="92"/>
      <c r="Q730" s="115"/>
      <c r="R730" s="92"/>
      <c r="S730"/>
      <c r="T730"/>
      <c r="U730"/>
      <c r="V730"/>
      <c r="W730"/>
      <c r="X730"/>
      <c r="Y730"/>
      <c r="Z730"/>
      <c r="AA730"/>
      <c r="AB730"/>
      <c r="AC730"/>
    </row>
    <row r="731" spans="1:29" x14ac:dyDescent="0.25">
      <c r="A731"/>
      <c r="B731"/>
      <c r="C731" s="92"/>
      <c r="L731" s="92"/>
      <c r="M731" s="92"/>
      <c r="Q731" s="115"/>
      <c r="R731" s="92"/>
      <c r="S731"/>
      <c r="T731"/>
      <c r="U731"/>
      <c r="V731"/>
      <c r="W731"/>
      <c r="X731"/>
      <c r="Y731"/>
      <c r="Z731"/>
      <c r="AA731"/>
      <c r="AB731"/>
      <c r="AC731"/>
    </row>
    <row r="732" spans="1:29" x14ac:dyDescent="0.25">
      <c r="A732"/>
      <c r="B732"/>
      <c r="C732" s="92"/>
      <c r="L732" s="92"/>
      <c r="M732" s="92"/>
      <c r="Q732" s="115"/>
      <c r="R732" s="92"/>
      <c r="S732"/>
      <c r="T732"/>
      <c r="U732"/>
      <c r="V732"/>
      <c r="W732"/>
      <c r="X732"/>
      <c r="Y732"/>
      <c r="Z732"/>
      <c r="AA732"/>
      <c r="AB732"/>
      <c r="AC732"/>
    </row>
    <row r="733" spans="1:29" x14ac:dyDescent="0.25">
      <c r="A733"/>
      <c r="B733"/>
      <c r="C733" s="92"/>
      <c r="L733" s="92"/>
      <c r="M733" s="92"/>
      <c r="Q733" s="115"/>
      <c r="R733" s="92"/>
      <c r="S733"/>
      <c r="T733"/>
      <c r="U733"/>
      <c r="V733"/>
      <c r="W733"/>
      <c r="X733"/>
      <c r="Y733"/>
      <c r="Z733"/>
      <c r="AA733"/>
      <c r="AB733"/>
      <c r="AC733"/>
    </row>
    <row r="734" spans="1:29" x14ac:dyDescent="0.25">
      <c r="A734"/>
      <c r="B734"/>
      <c r="C734" s="92"/>
      <c r="L734" s="92"/>
      <c r="M734" s="92"/>
      <c r="Q734" s="115"/>
      <c r="R734" s="92"/>
      <c r="S734"/>
      <c r="T734"/>
      <c r="U734"/>
      <c r="V734"/>
      <c r="W734"/>
      <c r="X734"/>
      <c r="Y734"/>
      <c r="Z734"/>
      <c r="AA734"/>
      <c r="AB734"/>
      <c r="AC734"/>
    </row>
    <row r="735" spans="1:29" x14ac:dyDescent="0.25">
      <c r="A735"/>
      <c r="B735"/>
      <c r="C735" s="92"/>
      <c r="L735" s="92"/>
      <c r="M735" s="92"/>
      <c r="Q735" s="115"/>
      <c r="R735" s="92"/>
      <c r="S735"/>
      <c r="T735"/>
      <c r="U735"/>
      <c r="V735"/>
      <c r="W735"/>
      <c r="X735"/>
      <c r="Y735"/>
      <c r="Z735"/>
      <c r="AA735"/>
      <c r="AB735"/>
      <c r="AC735"/>
    </row>
    <row r="736" spans="1:29" x14ac:dyDescent="0.25">
      <c r="A736"/>
      <c r="B736"/>
      <c r="C736" s="92"/>
      <c r="L736" s="92"/>
      <c r="M736" s="92"/>
      <c r="Q736" s="115"/>
      <c r="R736" s="92"/>
      <c r="S736"/>
      <c r="T736"/>
      <c r="U736"/>
      <c r="V736"/>
      <c r="W736"/>
      <c r="X736"/>
      <c r="Y736"/>
      <c r="Z736"/>
      <c r="AA736"/>
      <c r="AB736"/>
      <c r="AC736"/>
    </row>
    <row r="737" spans="1:29" x14ac:dyDescent="0.25">
      <c r="A737"/>
      <c r="B737"/>
      <c r="C737" s="92"/>
      <c r="L737" s="92"/>
      <c r="M737" s="92"/>
      <c r="Q737" s="115"/>
      <c r="R737" s="92"/>
      <c r="S737"/>
      <c r="T737"/>
      <c r="U737"/>
      <c r="V737"/>
      <c r="W737"/>
      <c r="X737"/>
      <c r="Y737"/>
      <c r="Z737"/>
      <c r="AA737"/>
      <c r="AB737"/>
      <c r="AC737"/>
    </row>
    <row r="738" spans="1:29" x14ac:dyDescent="0.25">
      <c r="A738"/>
      <c r="B738"/>
      <c r="C738" s="92"/>
      <c r="L738" s="92"/>
      <c r="M738" s="92"/>
      <c r="Q738" s="115"/>
      <c r="R738" s="92"/>
      <c r="S738"/>
      <c r="T738"/>
      <c r="U738"/>
      <c r="V738"/>
      <c r="W738"/>
      <c r="X738"/>
      <c r="Y738"/>
      <c r="Z738"/>
      <c r="AA738"/>
      <c r="AB738"/>
      <c r="AC738"/>
    </row>
    <row r="739" spans="1:29" x14ac:dyDescent="0.25">
      <c r="A739"/>
      <c r="B739"/>
      <c r="C739" s="92"/>
      <c r="L739" s="92"/>
      <c r="M739" s="92"/>
      <c r="Q739" s="115"/>
      <c r="R739" s="92"/>
      <c r="S739"/>
      <c r="T739"/>
      <c r="U739"/>
      <c r="V739"/>
      <c r="W739"/>
      <c r="X739"/>
      <c r="Y739"/>
      <c r="Z739"/>
      <c r="AA739"/>
      <c r="AB739"/>
      <c r="AC739"/>
    </row>
    <row r="740" spans="1:29" x14ac:dyDescent="0.25">
      <c r="A740"/>
      <c r="B740"/>
      <c r="C740" s="92"/>
      <c r="L740" s="92"/>
      <c r="M740" s="92"/>
      <c r="Q740" s="115"/>
      <c r="R740" s="92"/>
      <c r="S740"/>
      <c r="T740"/>
      <c r="U740"/>
      <c r="V740"/>
      <c r="W740"/>
      <c r="X740"/>
      <c r="Y740"/>
      <c r="Z740"/>
      <c r="AA740"/>
      <c r="AB740"/>
      <c r="AC740"/>
    </row>
    <row r="741" spans="1:29" x14ac:dyDescent="0.25">
      <c r="A741"/>
      <c r="B741"/>
      <c r="C741" s="92"/>
      <c r="L741" s="92"/>
      <c r="M741" s="92"/>
      <c r="Q741" s="115"/>
      <c r="R741" s="92"/>
      <c r="S741"/>
      <c r="T741"/>
      <c r="U741"/>
      <c r="V741"/>
      <c r="W741"/>
      <c r="X741"/>
      <c r="Y741"/>
      <c r="Z741"/>
      <c r="AA741"/>
      <c r="AB741"/>
      <c r="AC741"/>
    </row>
    <row r="742" spans="1:29" x14ac:dyDescent="0.25">
      <c r="A742"/>
      <c r="B742"/>
      <c r="C742" s="92"/>
      <c r="L742" s="92"/>
      <c r="M742" s="92"/>
      <c r="Q742" s="115"/>
      <c r="R742" s="92"/>
      <c r="S742"/>
      <c r="T742"/>
      <c r="U742"/>
      <c r="V742"/>
      <c r="W742"/>
      <c r="X742"/>
      <c r="Y742"/>
      <c r="Z742"/>
      <c r="AA742"/>
      <c r="AB742"/>
      <c r="AC742"/>
    </row>
    <row r="743" spans="1:29" x14ac:dyDescent="0.25">
      <c r="A743"/>
      <c r="B743"/>
      <c r="C743" s="92"/>
      <c r="L743" s="92"/>
      <c r="M743" s="92"/>
      <c r="Q743" s="115"/>
      <c r="R743" s="92"/>
      <c r="S743"/>
      <c r="T743"/>
      <c r="U743"/>
      <c r="V743"/>
      <c r="W743"/>
      <c r="X743"/>
      <c r="Y743"/>
      <c r="Z743"/>
      <c r="AA743"/>
      <c r="AB743"/>
      <c r="AC743"/>
    </row>
    <row r="744" spans="1:29" x14ac:dyDescent="0.25">
      <c r="A744"/>
      <c r="B744"/>
      <c r="C744" s="92"/>
      <c r="L744" s="92"/>
      <c r="M744" s="92"/>
      <c r="Q744" s="115"/>
      <c r="R744" s="92"/>
      <c r="S744"/>
      <c r="T744"/>
      <c r="U744"/>
      <c r="V744"/>
      <c r="W744"/>
      <c r="X744"/>
      <c r="Y744"/>
      <c r="Z744"/>
      <c r="AA744"/>
      <c r="AB744"/>
      <c r="AC744"/>
    </row>
    <row r="745" spans="1:29" x14ac:dyDescent="0.25">
      <c r="A745"/>
      <c r="B745"/>
      <c r="C745" s="92"/>
      <c r="L745" s="92"/>
      <c r="M745" s="92"/>
      <c r="Q745" s="115"/>
      <c r="R745" s="92"/>
      <c r="S745"/>
      <c r="T745"/>
      <c r="U745"/>
      <c r="V745"/>
      <c r="W745"/>
      <c r="X745"/>
      <c r="Y745"/>
      <c r="Z745"/>
      <c r="AA745"/>
      <c r="AB745"/>
      <c r="AC745"/>
    </row>
    <row r="746" spans="1:29" x14ac:dyDescent="0.25">
      <c r="A746"/>
      <c r="B746"/>
      <c r="C746" s="92"/>
      <c r="L746" s="92"/>
      <c r="M746" s="92"/>
      <c r="Q746" s="115"/>
      <c r="R746" s="92"/>
      <c r="S746"/>
      <c r="T746"/>
      <c r="U746"/>
      <c r="V746"/>
      <c r="W746"/>
      <c r="X746"/>
      <c r="Y746"/>
      <c r="Z746"/>
      <c r="AA746"/>
      <c r="AB746"/>
      <c r="AC746"/>
    </row>
    <row r="747" spans="1:29" x14ac:dyDescent="0.25">
      <c r="A747"/>
      <c r="B747"/>
      <c r="C747" s="92"/>
      <c r="L747" s="92"/>
      <c r="M747" s="92"/>
      <c r="Q747" s="115"/>
      <c r="R747" s="92"/>
      <c r="S747"/>
      <c r="T747"/>
      <c r="U747"/>
      <c r="V747"/>
      <c r="W747"/>
      <c r="X747"/>
      <c r="Y747"/>
      <c r="Z747"/>
      <c r="AA747"/>
      <c r="AB747"/>
      <c r="AC747"/>
    </row>
    <row r="748" spans="1:29" x14ac:dyDescent="0.25">
      <c r="A748"/>
      <c r="B748"/>
      <c r="C748" s="92"/>
      <c r="L748" s="92"/>
      <c r="M748" s="92"/>
      <c r="Q748" s="115"/>
      <c r="R748" s="92"/>
      <c r="S748"/>
      <c r="T748"/>
      <c r="U748"/>
      <c r="V748"/>
      <c r="W748"/>
      <c r="X748"/>
      <c r="Y748"/>
      <c r="Z748"/>
      <c r="AA748"/>
      <c r="AB748"/>
      <c r="AC748"/>
    </row>
    <row r="749" spans="1:29" x14ac:dyDescent="0.25">
      <c r="A749"/>
      <c r="B749"/>
      <c r="C749" s="92"/>
      <c r="L749" s="92"/>
      <c r="M749" s="92"/>
      <c r="Q749" s="115"/>
      <c r="R749" s="92"/>
      <c r="S749"/>
      <c r="T749"/>
      <c r="U749"/>
      <c r="V749"/>
      <c r="W749"/>
      <c r="X749"/>
      <c r="Y749"/>
      <c r="Z749"/>
      <c r="AA749"/>
      <c r="AB749"/>
      <c r="AC749"/>
    </row>
    <row r="750" spans="1:29" x14ac:dyDescent="0.25">
      <c r="A750"/>
      <c r="B750"/>
      <c r="C750" s="92"/>
      <c r="L750" s="92"/>
      <c r="M750" s="92"/>
      <c r="Q750" s="115"/>
      <c r="R750" s="92"/>
      <c r="S750"/>
      <c r="T750"/>
      <c r="U750"/>
      <c r="V750"/>
      <c r="W750"/>
      <c r="X750"/>
      <c r="Y750"/>
      <c r="Z750"/>
      <c r="AA750"/>
      <c r="AB750"/>
      <c r="AC750"/>
    </row>
    <row r="751" spans="1:29" x14ac:dyDescent="0.25">
      <c r="A751"/>
      <c r="B751"/>
      <c r="C751" s="92"/>
      <c r="L751" s="92"/>
      <c r="M751" s="92"/>
      <c r="Q751" s="115"/>
      <c r="R751" s="92"/>
      <c r="S751"/>
      <c r="T751"/>
      <c r="U751"/>
      <c r="V751"/>
      <c r="W751"/>
      <c r="X751"/>
      <c r="Y751"/>
      <c r="Z751"/>
      <c r="AA751"/>
      <c r="AB751"/>
      <c r="AC751"/>
    </row>
    <row r="752" spans="1:29" x14ac:dyDescent="0.25">
      <c r="A752"/>
      <c r="B752"/>
      <c r="C752" s="92"/>
      <c r="L752" s="92"/>
      <c r="M752" s="92"/>
      <c r="Q752" s="115"/>
      <c r="R752" s="92"/>
      <c r="S752"/>
      <c r="T752"/>
      <c r="U752"/>
      <c r="V752"/>
      <c r="W752"/>
      <c r="X752"/>
      <c r="Y752"/>
      <c r="Z752"/>
      <c r="AA752"/>
      <c r="AB752"/>
      <c r="AC752"/>
    </row>
    <row r="753" spans="1:29" x14ac:dyDescent="0.25">
      <c r="A753"/>
      <c r="B753"/>
      <c r="C753" s="92"/>
      <c r="L753" s="92"/>
      <c r="M753" s="92"/>
      <c r="Q753" s="115"/>
      <c r="R753" s="92"/>
      <c r="S753"/>
      <c r="T753"/>
      <c r="U753"/>
      <c r="V753"/>
      <c r="W753"/>
      <c r="X753"/>
      <c r="Y753"/>
      <c r="Z753"/>
      <c r="AA753"/>
      <c r="AB753"/>
      <c r="AC753"/>
    </row>
    <row r="754" spans="1:29" x14ac:dyDescent="0.25">
      <c r="A754"/>
      <c r="B754"/>
      <c r="C754" s="92"/>
      <c r="L754" s="92"/>
      <c r="M754" s="92"/>
      <c r="Q754" s="115"/>
      <c r="R754" s="92"/>
      <c r="S754"/>
      <c r="T754"/>
      <c r="U754"/>
      <c r="V754"/>
      <c r="W754"/>
      <c r="X754"/>
      <c r="Y754"/>
      <c r="Z754"/>
      <c r="AA754"/>
      <c r="AB754"/>
      <c r="AC754"/>
    </row>
    <row r="755" spans="1:29" x14ac:dyDescent="0.25">
      <c r="A755"/>
      <c r="B755"/>
      <c r="C755" s="92"/>
      <c r="L755" s="92"/>
      <c r="M755" s="92"/>
      <c r="Q755" s="115"/>
      <c r="R755" s="92"/>
      <c r="S755"/>
      <c r="T755"/>
      <c r="U755"/>
      <c r="V755"/>
      <c r="W755"/>
      <c r="X755"/>
      <c r="Y755"/>
      <c r="Z755"/>
      <c r="AA755"/>
      <c r="AB755"/>
      <c r="AC755"/>
    </row>
    <row r="756" spans="1:29" x14ac:dyDescent="0.25">
      <c r="A756"/>
      <c r="B756"/>
      <c r="C756" s="92"/>
      <c r="L756" s="92"/>
      <c r="M756" s="92"/>
      <c r="Q756" s="115"/>
      <c r="R756" s="92"/>
      <c r="S756"/>
      <c r="T756"/>
      <c r="U756"/>
      <c r="V756"/>
      <c r="W756"/>
      <c r="X756"/>
      <c r="Y756"/>
      <c r="Z756"/>
      <c r="AA756"/>
      <c r="AB756"/>
      <c r="AC756"/>
    </row>
    <row r="757" spans="1:29" x14ac:dyDescent="0.25">
      <c r="A757"/>
      <c r="B757"/>
      <c r="C757" s="92"/>
      <c r="L757" s="92"/>
      <c r="M757" s="92"/>
      <c r="Q757" s="115"/>
      <c r="R757" s="92"/>
      <c r="S757"/>
      <c r="T757"/>
      <c r="U757"/>
      <c r="V757"/>
      <c r="W757"/>
      <c r="X757"/>
      <c r="Y757"/>
      <c r="Z757"/>
      <c r="AA757"/>
      <c r="AB757"/>
      <c r="AC757"/>
    </row>
    <row r="758" spans="1:29" x14ac:dyDescent="0.25">
      <c r="A758"/>
      <c r="B758"/>
      <c r="C758" s="92"/>
      <c r="L758" s="92"/>
      <c r="M758" s="92"/>
      <c r="Q758" s="115"/>
      <c r="R758" s="92"/>
      <c r="S758"/>
      <c r="T758"/>
      <c r="U758"/>
      <c r="V758"/>
      <c r="W758"/>
      <c r="X758"/>
      <c r="Y758"/>
      <c r="Z758"/>
      <c r="AA758"/>
      <c r="AB758"/>
      <c r="AC758"/>
    </row>
    <row r="759" spans="1:29" x14ac:dyDescent="0.25">
      <c r="A759"/>
      <c r="B759"/>
      <c r="C759" s="92"/>
      <c r="L759" s="92"/>
      <c r="M759" s="92"/>
      <c r="Q759" s="115"/>
      <c r="R759" s="92"/>
      <c r="S759"/>
      <c r="T759"/>
      <c r="U759"/>
      <c r="V759"/>
      <c r="W759"/>
      <c r="X759"/>
      <c r="Y759"/>
      <c r="Z759"/>
      <c r="AA759"/>
      <c r="AB759"/>
      <c r="AC759"/>
    </row>
    <row r="760" spans="1:29" x14ac:dyDescent="0.25">
      <c r="A760"/>
      <c r="B760"/>
      <c r="C760" s="92"/>
      <c r="L760" s="92"/>
      <c r="M760" s="92"/>
      <c r="Q760" s="115"/>
      <c r="R760" s="92"/>
      <c r="S760"/>
      <c r="T760"/>
      <c r="U760"/>
      <c r="V760"/>
      <c r="W760"/>
      <c r="X760"/>
      <c r="Y760"/>
      <c r="Z760"/>
      <c r="AA760"/>
      <c r="AB760"/>
      <c r="AC760"/>
    </row>
    <row r="761" spans="1:29" x14ac:dyDescent="0.25">
      <c r="A761"/>
      <c r="B761"/>
      <c r="C761" s="92"/>
      <c r="L761" s="92"/>
      <c r="M761" s="92"/>
      <c r="Q761" s="115"/>
      <c r="R761" s="92"/>
      <c r="S761"/>
      <c r="T761"/>
      <c r="U761"/>
      <c r="V761"/>
      <c r="W761"/>
      <c r="X761"/>
      <c r="Y761"/>
      <c r="Z761"/>
      <c r="AA761"/>
      <c r="AB761"/>
      <c r="AC761"/>
    </row>
    <row r="762" spans="1:29" x14ac:dyDescent="0.25">
      <c r="A762"/>
      <c r="B762"/>
      <c r="C762" s="92"/>
      <c r="L762" s="92"/>
      <c r="M762" s="92"/>
      <c r="Q762" s="115"/>
      <c r="R762" s="92"/>
      <c r="S762"/>
      <c r="T762"/>
      <c r="U762"/>
      <c r="V762"/>
      <c r="W762"/>
      <c r="X762"/>
      <c r="Y762"/>
      <c r="Z762"/>
      <c r="AA762"/>
      <c r="AB762"/>
      <c r="AC762"/>
    </row>
    <row r="763" spans="1:29" x14ac:dyDescent="0.25">
      <c r="A763"/>
      <c r="B763"/>
      <c r="C763" s="92"/>
      <c r="L763" s="92"/>
      <c r="M763" s="92"/>
      <c r="Q763" s="115"/>
      <c r="R763" s="92"/>
      <c r="S763"/>
      <c r="T763"/>
      <c r="U763"/>
      <c r="V763"/>
      <c r="W763"/>
      <c r="X763"/>
      <c r="Y763"/>
      <c r="Z763"/>
      <c r="AA763"/>
      <c r="AB763"/>
      <c r="AC763"/>
    </row>
    <row r="764" spans="1:29" x14ac:dyDescent="0.25">
      <c r="A764"/>
      <c r="B764"/>
      <c r="C764" s="92"/>
      <c r="L764" s="92"/>
      <c r="M764" s="92"/>
      <c r="Q764" s="115"/>
      <c r="R764" s="92"/>
      <c r="S764"/>
      <c r="T764"/>
      <c r="U764"/>
      <c r="V764"/>
      <c r="W764"/>
      <c r="X764"/>
      <c r="Y764"/>
      <c r="Z764"/>
      <c r="AA764"/>
      <c r="AB764"/>
      <c r="AC764"/>
    </row>
    <row r="765" spans="1:29" x14ac:dyDescent="0.25">
      <c r="A765"/>
      <c r="B765"/>
      <c r="C765" s="92"/>
      <c r="L765" s="92"/>
      <c r="M765" s="92"/>
      <c r="Q765" s="115"/>
      <c r="R765" s="92"/>
      <c r="S765"/>
      <c r="T765"/>
      <c r="U765"/>
      <c r="V765"/>
      <c r="W765"/>
      <c r="X765"/>
      <c r="Y765"/>
      <c r="Z765"/>
      <c r="AA765"/>
      <c r="AB765"/>
      <c r="AC765"/>
    </row>
    <row r="766" spans="1:29" x14ac:dyDescent="0.25">
      <c r="A766"/>
      <c r="B766"/>
      <c r="C766" s="92"/>
      <c r="L766" s="92"/>
      <c r="M766" s="92"/>
      <c r="Q766" s="115"/>
      <c r="R766" s="92"/>
      <c r="S766"/>
      <c r="T766"/>
      <c r="U766"/>
      <c r="V766"/>
      <c r="W766"/>
      <c r="X766"/>
      <c r="Y766"/>
      <c r="Z766"/>
      <c r="AA766"/>
      <c r="AB766"/>
      <c r="AC766"/>
    </row>
    <row r="767" spans="1:29" x14ac:dyDescent="0.25">
      <c r="A767"/>
      <c r="B767"/>
      <c r="C767" s="92"/>
      <c r="L767" s="92"/>
      <c r="M767" s="92"/>
      <c r="Q767" s="115"/>
      <c r="R767" s="92"/>
      <c r="S767"/>
      <c r="T767"/>
      <c r="U767"/>
      <c r="V767"/>
      <c r="W767"/>
      <c r="X767"/>
      <c r="Y767"/>
      <c r="Z767"/>
      <c r="AA767"/>
      <c r="AB767"/>
      <c r="AC767"/>
    </row>
    <row r="768" spans="1:29" x14ac:dyDescent="0.25">
      <c r="A768"/>
      <c r="B768"/>
      <c r="C768" s="92"/>
      <c r="L768" s="92"/>
      <c r="M768" s="92"/>
      <c r="Q768" s="115"/>
      <c r="R768" s="92"/>
      <c r="S768"/>
      <c r="T768"/>
      <c r="U768"/>
      <c r="V768"/>
      <c r="W768"/>
      <c r="X768"/>
      <c r="Y768"/>
      <c r="Z768"/>
      <c r="AA768"/>
      <c r="AB768"/>
      <c r="AC768"/>
    </row>
    <row r="769" spans="1:29" x14ac:dyDescent="0.25">
      <c r="A769"/>
      <c r="B769"/>
      <c r="C769" s="92"/>
      <c r="L769" s="92"/>
      <c r="M769" s="92"/>
      <c r="Q769" s="115"/>
      <c r="R769" s="92"/>
      <c r="S769"/>
      <c r="T769"/>
      <c r="U769"/>
      <c r="V769"/>
      <c r="W769"/>
      <c r="X769"/>
      <c r="Y769"/>
      <c r="Z769"/>
      <c r="AA769"/>
      <c r="AB769"/>
      <c r="AC769"/>
    </row>
    <row r="770" spans="1:29" x14ac:dyDescent="0.25">
      <c r="A770"/>
      <c r="B770"/>
      <c r="C770" s="92"/>
      <c r="L770" s="92"/>
      <c r="M770" s="92"/>
      <c r="Q770" s="115"/>
      <c r="R770" s="92"/>
      <c r="S770"/>
      <c r="T770"/>
      <c r="U770"/>
      <c r="V770"/>
      <c r="W770"/>
      <c r="X770"/>
      <c r="Y770"/>
      <c r="Z770"/>
      <c r="AA770"/>
      <c r="AB770"/>
      <c r="AC770"/>
    </row>
    <row r="771" spans="1:29" x14ac:dyDescent="0.25">
      <c r="A771"/>
      <c r="B771"/>
      <c r="C771" s="92"/>
      <c r="L771" s="92"/>
      <c r="M771" s="92"/>
      <c r="Q771" s="115"/>
      <c r="R771" s="92"/>
      <c r="S771"/>
      <c r="T771"/>
      <c r="U771"/>
      <c r="V771"/>
      <c r="W771"/>
      <c r="X771"/>
      <c r="Y771"/>
      <c r="Z771"/>
      <c r="AA771"/>
      <c r="AB771"/>
      <c r="AC771"/>
    </row>
    <row r="772" spans="1:29" x14ac:dyDescent="0.25">
      <c r="A772"/>
      <c r="B772"/>
      <c r="C772" s="92"/>
      <c r="L772" s="92"/>
      <c r="M772" s="92"/>
      <c r="Q772" s="115"/>
      <c r="R772" s="92"/>
      <c r="S772"/>
      <c r="T772"/>
      <c r="U772"/>
      <c r="V772"/>
      <c r="W772"/>
      <c r="X772"/>
      <c r="Y772"/>
      <c r="Z772"/>
      <c r="AA772"/>
      <c r="AB772"/>
      <c r="AC772"/>
    </row>
    <row r="773" spans="1:29" x14ac:dyDescent="0.25">
      <c r="A773"/>
      <c r="B773"/>
      <c r="C773" s="92"/>
      <c r="L773" s="92"/>
      <c r="M773" s="92"/>
      <c r="Q773" s="115"/>
      <c r="R773" s="92"/>
      <c r="S773"/>
      <c r="T773"/>
      <c r="U773"/>
      <c r="V773"/>
      <c r="W773"/>
      <c r="X773"/>
      <c r="Y773"/>
      <c r="Z773"/>
      <c r="AA773"/>
      <c r="AB773"/>
      <c r="AC773"/>
    </row>
    <row r="774" spans="1:29" x14ac:dyDescent="0.25">
      <c r="A774"/>
      <c r="B774"/>
      <c r="C774" s="92"/>
      <c r="L774" s="92"/>
      <c r="M774" s="92"/>
      <c r="Q774" s="115"/>
      <c r="R774" s="92"/>
      <c r="S774"/>
      <c r="T774"/>
      <c r="U774"/>
      <c r="V774"/>
      <c r="W774"/>
      <c r="X774"/>
      <c r="Y774"/>
      <c r="Z774"/>
      <c r="AA774"/>
      <c r="AB774"/>
      <c r="AC774"/>
    </row>
    <row r="775" spans="1:29" x14ac:dyDescent="0.25">
      <c r="A775"/>
      <c r="B775"/>
      <c r="C775" s="92"/>
      <c r="L775" s="92"/>
      <c r="M775" s="92"/>
      <c r="Q775" s="115"/>
      <c r="R775" s="92"/>
      <c r="S775"/>
      <c r="T775"/>
      <c r="U775"/>
      <c r="V775"/>
      <c r="W775"/>
      <c r="X775"/>
      <c r="Y775"/>
      <c r="Z775"/>
      <c r="AA775"/>
      <c r="AB775"/>
      <c r="AC775"/>
    </row>
    <row r="776" spans="1:29" x14ac:dyDescent="0.25">
      <c r="A776"/>
      <c r="B776"/>
      <c r="C776" s="92"/>
      <c r="L776" s="92"/>
      <c r="M776" s="92"/>
      <c r="Q776" s="115"/>
      <c r="R776" s="92"/>
      <c r="S776"/>
      <c r="T776"/>
      <c r="U776"/>
      <c r="V776"/>
      <c r="W776"/>
      <c r="X776"/>
      <c r="Y776"/>
      <c r="Z776"/>
      <c r="AA776"/>
      <c r="AB776"/>
      <c r="AC776"/>
    </row>
    <row r="777" spans="1:29" x14ac:dyDescent="0.25">
      <c r="A777"/>
      <c r="B777"/>
      <c r="C777" s="92"/>
      <c r="L777" s="92"/>
      <c r="M777" s="92"/>
      <c r="Q777" s="115"/>
      <c r="R777" s="92"/>
      <c r="S777"/>
      <c r="T777"/>
      <c r="U777"/>
      <c r="V777"/>
      <c r="W777"/>
      <c r="X777"/>
      <c r="Y777"/>
      <c r="Z777"/>
      <c r="AA777"/>
      <c r="AB777"/>
      <c r="AC777"/>
    </row>
    <row r="778" spans="1:29" x14ac:dyDescent="0.25">
      <c r="A778"/>
      <c r="B778"/>
      <c r="C778" s="92"/>
      <c r="L778" s="92"/>
      <c r="M778" s="92"/>
      <c r="Q778" s="115"/>
      <c r="R778" s="92"/>
      <c r="S778"/>
      <c r="T778"/>
      <c r="U778"/>
      <c r="V778"/>
      <c r="W778"/>
      <c r="X778"/>
      <c r="Y778"/>
      <c r="Z778"/>
      <c r="AA778"/>
      <c r="AB778"/>
      <c r="AC778"/>
    </row>
    <row r="779" spans="1:29" x14ac:dyDescent="0.25">
      <c r="A779"/>
      <c r="B779"/>
      <c r="C779" s="92"/>
      <c r="L779" s="92"/>
      <c r="M779" s="92"/>
      <c r="Q779" s="115"/>
      <c r="R779" s="92"/>
      <c r="S779"/>
      <c r="T779"/>
      <c r="U779"/>
      <c r="V779"/>
      <c r="W779"/>
      <c r="X779"/>
      <c r="Y779"/>
      <c r="Z779"/>
      <c r="AA779"/>
      <c r="AB779"/>
      <c r="AC779"/>
    </row>
    <row r="780" spans="1:29" x14ac:dyDescent="0.25">
      <c r="A780"/>
      <c r="B780"/>
      <c r="C780" s="92"/>
      <c r="L780" s="92"/>
      <c r="M780" s="92"/>
      <c r="Q780" s="115"/>
      <c r="R780" s="92"/>
      <c r="S780"/>
      <c r="T780"/>
      <c r="U780"/>
      <c r="V780"/>
      <c r="W780"/>
      <c r="X780"/>
      <c r="Y780"/>
      <c r="Z780"/>
      <c r="AA780"/>
      <c r="AB780"/>
      <c r="AC780"/>
    </row>
    <row r="781" spans="1:29" x14ac:dyDescent="0.25">
      <c r="A781"/>
      <c r="B781"/>
      <c r="C781" s="92"/>
      <c r="L781" s="92"/>
      <c r="M781" s="92"/>
      <c r="Q781" s="115"/>
      <c r="R781" s="92"/>
      <c r="S781"/>
      <c r="T781"/>
      <c r="U781"/>
      <c r="V781"/>
      <c r="W781"/>
      <c r="X781"/>
      <c r="Y781"/>
      <c r="Z781"/>
      <c r="AA781"/>
      <c r="AB781"/>
      <c r="AC781"/>
    </row>
    <row r="782" spans="1:29" x14ac:dyDescent="0.25">
      <c r="A782"/>
      <c r="B782"/>
      <c r="C782" s="92"/>
      <c r="L782" s="92"/>
      <c r="M782" s="92"/>
      <c r="Q782" s="115"/>
      <c r="R782" s="92"/>
      <c r="S782"/>
      <c r="T782"/>
      <c r="U782"/>
      <c r="V782"/>
      <c r="W782"/>
      <c r="X782"/>
      <c r="Y782"/>
      <c r="Z782"/>
      <c r="AA782"/>
      <c r="AB782"/>
      <c r="AC782"/>
    </row>
    <row r="783" spans="1:29" x14ac:dyDescent="0.25">
      <c r="A783"/>
      <c r="B783"/>
      <c r="C783" s="92"/>
      <c r="L783" s="92"/>
      <c r="M783" s="92"/>
      <c r="Q783" s="115"/>
      <c r="R783" s="92"/>
      <c r="S783"/>
      <c r="T783"/>
      <c r="U783"/>
      <c r="V783"/>
      <c r="W783"/>
      <c r="X783"/>
      <c r="Y783"/>
      <c r="Z783"/>
      <c r="AA783"/>
      <c r="AB783"/>
      <c r="AC783"/>
    </row>
    <row r="784" spans="1:29" x14ac:dyDescent="0.25">
      <c r="A784"/>
      <c r="B784"/>
      <c r="C784" s="92"/>
      <c r="L784" s="92"/>
      <c r="M784" s="92"/>
      <c r="Q784" s="115"/>
      <c r="R784" s="92"/>
      <c r="S784"/>
      <c r="T784"/>
      <c r="U784"/>
      <c r="V784"/>
      <c r="W784"/>
      <c r="X784"/>
      <c r="Y784"/>
      <c r="Z784"/>
      <c r="AA784"/>
      <c r="AB784"/>
      <c r="AC784"/>
    </row>
    <row r="785" spans="1:29" x14ac:dyDescent="0.25">
      <c r="A785"/>
      <c r="B785"/>
      <c r="C785" s="92"/>
      <c r="L785" s="92"/>
      <c r="M785" s="92"/>
      <c r="Q785" s="115"/>
      <c r="R785" s="92"/>
      <c r="S785"/>
      <c r="T785"/>
      <c r="U785"/>
      <c r="V785"/>
      <c r="W785"/>
      <c r="X785"/>
      <c r="Y785"/>
      <c r="Z785"/>
      <c r="AA785"/>
      <c r="AB785"/>
      <c r="AC785"/>
    </row>
    <row r="786" spans="1:29" x14ac:dyDescent="0.25">
      <c r="A786"/>
      <c r="B786"/>
      <c r="C786" s="92"/>
      <c r="L786" s="92"/>
      <c r="M786" s="92"/>
      <c r="Q786" s="115"/>
      <c r="R786" s="92"/>
      <c r="S786"/>
      <c r="T786"/>
      <c r="U786"/>
      <c r="V786"/>
      <c r="W786"/>
      <c r="X786"/>
      <c r="Y786"/>
      <c r="Z786"/>
      <c r="AA786"/>
      <c r="AB786"/>
      <c r="AC786"/>
    </row>
    <row r="787" spans="1:29" x14ac:dyDescent="0.25">
      <c r="A787"/>
      <c r="B787"/>
      <c r="C787" s="92"/>
      <c r="L787" s="92"/>
      <c r="M787" s="92"/>
      <c r="Q787" s="115"/>
      <c r="R787" s="92"/>
      <c r="S787"/>
      <c r="T787"/>
      <c r="U787"/>
      <c r="V787"/>
      <c r="W787"/>
      <c r="X787"/>
      <c r="Y787"/>
      <c r="Z787"/>
      <c r="AA787"/>
      <c r="AB787"/>
      <c r="AC787"/>
    </row>
    <row r="788" spans="1:29" x14ac:dyDescent="0.25">
      <c r="A788"/>
      <c r="B788"/>
      <c r="C788" s="92"/>
      <c r="L788" s="92"/>
      <c r="M788" s="92"/>
      <c r="Q788" s="115"/>
      <c r="R788" s="92"/>
      <c r="S788"/>
      <c r="T788"/>
      <c r="U788"/>
      <c r="V788"/>
      <c r="W788"/>
      <c r="X788"/>
      <c r="Y788"/>
      <c r="Z788"/>
      <c r="AA788"/>
      <c r="AB788"/>
      <c r="AC788"/>
    </row>
    <row r="789" spans="1:29" x14ac:dyDescent="0.25">
      <c r="A789"/>
      <c r="B789"/>
      <c r="C789" s="92"/>
      <c r="L789" s="92"/>
      <c r="M789" s="92"/>
      <c r="Q789" s="115"/>
      <c r="R789" s="92"/>
      <c r="S789"/>
      <c r="T789"/>
      <c r="U789"/>
      <c r="V789"/>
      <c r="W789"/>
      <c r="X789"/>
      <c r="Y789"/>
      <c r="Z789"/>
      <c r="AA789"/>
      <c r="AB789"/>
      <c r="AC789"/>
    </row>
    <row r="790" spans="1:29" x14ac:dyDescent="0.25">
      <c r="A790"/>
      <c r="B790"/>
      <c r="C790" s="92"/>
      <c r="L790" s="92"/>
      <c r="M790" s="92"/>
      <c r="Q790" s="115"/>
      <c r="R790" s="92"/>
      <c r="S790"/>
      <c r="T790"/>
      <c r="U790"/>
      <c r="V790"/>
      <c r="W790"/>
      <c r="X790"/>
      <c r="Y790"/>
      <c r="Z790"/>
      <c r="AA790"/>
      <c r="AB790"/>
      <c r="AC790"/>
    </row>
    <row r="791" spans="1:29" x14ac:dyDescent="0.25">
      <c r="A791"/>
      <c r="B791"/>
      <c r="C791" s="92"/>
      <c r="L791" s="92"/>
      <c r="M791" s="92"/>
      <c r="Q791" s="115"/>
      <c r="R791" s="92"/>
      <c r="S791"/>
      <c r="T791"/>
      <c r="U791"/>
      <c r="V791"/>
      <c r="W791"/>
      <c r="X791"/>
      <c r="Y791"/>
      <c r="Z791"/>
      <c r="AA791"/>
      <c r="AB791"/>
      <c r="AC791"/>
    </row>
    <row r="792" spans="1:29" x14ac:dyDescent="0.25">
      <c r="A792"/>
      <c r="B792"/>
      <c r="C792" s="92"/>
      <c r="L792" s="92"/>
      <c r="M792" s="92"/>
      <c r="Q792" s="115"/>
      <c r="R792" s="92"/>
      <c r="S792"/>
      <c r="T792"/>
      <c r="U792"/>
      <c r="V792"/>
      <c r="W792"/>
      <c r="X792"/>
      <c r="Y792"/>
      <c r="Z792"/>
      <c r="AA792"/>
      <c r="AB792"/>
      <c r="AC792"/>
    </row>
    <row r="793" spans="1:29" x14ac:dyDescent="0.25">
      <c r="A793"/>
      <c r="B793"/>
      <c r="C793" s="92"/>
      <c r="L793" s="92"/>
      <c r="M793" s="92"/>
      <c r="Q793" s="115"/>
      <c r="R793" s="92"/>
      <c r="S793"/>
      <c r="T793"/>
      <c r="U793"/>
      <c r="V793"/>
      <c r="W793"/>
      <c r="X793"/>
      <c r="Y793"/>
      <c r="Z793"/>
      <c r="AA793"/>
      <c r="AB793"/>
      <c r="AC793"/>
    </row>
    <row r="794" spans="1:29" x14ac:dyDescent="0.25">
      <c r="A794"/>
      <c r="B794"/>
      <c r="C794" s="92"/>
      <c r="L794" s="92"/>
      <c r="M794" s="92"/>
      <c r="Q794" s="115"/>
      <c r="R794" s="92"/>
      <c r="S794"/>
      <c r="T794"/>
      <c r="U794"/>
      <c r="V794"/>
      <c r="W794"/>
      <c r="X794"/>
      <c r="Y794"/>
      <c r="Z794"/>
      <c r="AA794"/>
      <c r="AB794"/>
      <c r="AC794"/>
    </row>
    <row r="795" spans="1:29" x14ac:dyDescent="0.25">
      <c r="A795"/>
      <c r="B795"/>
      <c r="C795" s="92"/>
      <c r="L795" s="92"/>
      <c r="M795" s="92"/>
      <c r="Q795" s="115"/>
      <c r="R795" s="92"/>
      <c r="S795"/>
      <c r="T795"/>
      <c r="U795"/>
      <c r="V795"/>
      <c r="W795"/>
      <c r="X795"/>
      <c r="Y795"/>
      <c r="Z795"/>
      <c r="AA795"/>
      <c r="AB795"/>
      <c r="AC795"/>
    </row>
    <row r="796" spans="1:29" x14ac:dyDescent="0.25">
      <c r="A796"/>
      <c r="B796"/>
      <c r="C796" s="92"/>
      <c r="L796" s="92"/>
      <c r="M796" s="92"/>
      <c r="Q796" s="115"/>
      <c r="R796" s="92"/>
      <c r="S796"/>
      <c r="T796"/>
      <c r="U796"/>
      <c r="V796"/>
      <c r="W796"/>
      <c r="X796"/>
      <c r="Y796"/>
      <c r="Z796"/>
      <c r="AA796"/>
      <c r="AB796"/>
      <c r="AC796"/>
    </row>
    <row r="797" spans="1:29" x14ac:dyDescent="0.25">
      <c r="A797"/>
      <c r="B797"/>
      <c r="C797" s="92"/>
      <c r="L797" s="92"/>
      <c r="M797" s="92"/>
      <c r="Q797" s="115"/>
      <c r="R797" s="92"/>
      <c r="S797"/>
      <c r="T797"/>
      <c r="U797"/>
      <c r="V797"/>
      <c r="W797"/>
      <c r="X797"/>
      <c r="Y797"/>
      <c r="Z797"/>
      <c r="AA797"/>
      <c r="AB797"/>
      <c r="AC797"/>
    </row>
    <row r="798" spans="1:29" x14ac:dyDescent="0.25">
      <c r="A798"/>
      <c r="B798"/>
      <c r="C798" s="92"/>
      <c r="L798" s="92"/>
      <c r="M798" s="92"/>
      <c r="Q798" s="115"/>
      <c r="R798" s="92"/>
      <c r="S798"/>
      <c r="T798"/>
      <c r="U798"/>
      <c r="V798"/>
      <c r="W798"/>
      <c r="X798"/>
      <c r="Y798"/>
      <c r="Z798"/>
      <c r="AA798"/>
      <c r="AB798"/>
      <c r="AC798"/>
    </row>
    <row r="799" spans="1:29" x14ac:dyDescent="0.25">
      <c r="A799"/>
      <c r="B799"/>
      <c r="C799" s="92"/>
      <c r="L799" s="92"/>
      <c r="M799" s="92"/>
      <c r="Q799" s="115"/>
      <c r="R799" s="92"/>
      <c r="S799"/>
      <c r="T799"/>
      <c r="U799"/>
      <c r="V799"/>
      <c r="W799"/>
      <c r="X799"/>
      <c r="Y799"/>
      <c r="Z799"/>
      <c r="AA799"/>
      <c r="AB799"/>
      <c r="AC799"/>
    </row>
    <row r="800" spans="1:29" x14ac:dyDescent="0.25">
      <c r="A800"/>
      <c r="B800"/>
      <c r="C800" s="92"/>
      <c r="L800" s="92"/>
      <c r="M800" s="92"/>
      <c r="Q800" s="115"/>
      <c r="R800" s="92"/>
      <c r="S800"/>
      <c r="T800"/>
      <c r="U800"/>
      <c r="V800"/>
      <c r="W800"/>
      <c r="X800"/>
      <c r="Y800"/>
      <c r="Z800"/>
      <c r="AA800"/>
      <c r="AB800"/>
      <c r="AC800"/>
    </row>
    <row r="801" spans="1:29" x14ac:dyDescent="0.25">
      <c r="A801"/>
      <c r="B801"/>
      <c r="C801" s="92"/>
      <c r="L801" s="92"/>
      <c r="M801" s="92"/>
      <c r="Q801" s="115"/>
      <c r="R801" s="92"/>
      <c r="S801"/>
      <c r="T801"/>
      <c r="U801"/>
      <c r="V801"/>
      <c r="W801"/>
      <c r="X801"/>
      <c r="Y801"/>
      <c r="Z801"/>
      <c r="AA801"/>
      <c r="AB801"/>
      <c r="AC801"/>
    </row>
    <row r="802" spans="1:29" x14ac:dyDescent="0.25">
      <c r="A802"/>
      <c r="B802"/>
      <c r="C802" s="92"/>
      <c r="L802" s="92"/>
      <c r="M802" s="92"/>
      <c r="Q802" s="115"/>
      <c r="R802" s="92"/>
      <c r="S802"/>
      <c r="T802"/>
      <c r="U802"/>
      <c r="V802"/>
      <c r="W802"/>
      <c r="X802"/>
      <c r="Y802"/>
      <c r="Z802"/>
      <c r="AA802"/>
      <c r="AB802"/>
      <c r="AC802"/>
    </row>
    <row r="803" spans="1:29" x14ac:dyDescent="0.25">
      <c r="A803"/>
      <c r="B803"/>
      <c r="C803" s="92"/>
      <c r="L803" s="92"/>
      <c r="M803" s="92"/>
      <c r="Q803" s="115"/>
      <c r="R803" s="92"/>
      <c r="S803"/>
      <c r="T803"/>
      <c r="U803"/>
      <c r="V803"/>
      <c r="W803"/>
      <c r="X803"/>
      <c r="Y803"/>
      <c r="Z803"/>
      <c r="AA803"/>
      <c r="AB803"/>
      <c r="AC803"/>
    </row>
    <row r="804" spans="1:29" x14ac:dyDescent="0.25">
      <c r="A804"/>
      <c r="B804"/>
      <c r="C804" s="92"/>
      <c r="L804" s="92"/>
      <c r="M804" s="92"/>
      <c r="Q804" s="115"/>
      <c r="R804" s="92"/>
      <c r="S804"/>
      <c r="T804"/>
      <c r="U804"/>
      <c r="V804"/>
      <c r="W804"/>
      <c r="X804"/>
      <c r="Y804"/>
      <c r="Z804"/>
      <c r="AA804"/>
      <c r="AB804"/>
      <c r="AC804"/>
    </row>
    <row r="805" spans="1:29" x14ac:dyDescent="0.25">
      <c r="A805"/>
      <c r="B805"/>
      <c r="C805" s="92"/>
      <c r="L805" s="92"/>
      <c r="M805" s="92"/>
      <c r="Q805" s="115"/>
      <c r="R805" s="92"/>
      <c r="S805"/>
      <c r="T805"/>
      <c r="U805"/>
      <c r="V805"/>
      <c r="W805"/>
      <c r="X805"/>
      <c r="Y805"/>
      <c r="Z805"/>
      <c r="AA805"/>
      <c r="AB805"/>
      <c r="AC805"/>
    </row>
    <row r="806" spans="1:29" x14ac:dyDescent="0.25">
      <c r="A806"/>
      <c r="B806"/>
      <c r="C806" s="92"/>
      <c r="L806" s="92"/>
      <c r="M806" s="92"/>
      <c r="Q806" s="115"/>
      <c r="R806" s="92"/>
      <c r="S806"/>
      <c r="T806"/>
      <c r="U806"/>
      <c r="V806"/>
      <c r="W806"/>
      <c r="X806"/>
      <c r="Y806"/>
      <c r="Z806"/>
      <c r="AA806"/>
      <c r="AB806"/>
      <c r="AC806"/>
    </row>
    <row r="807" spans="1:29" x14ac:dyDescent="0.25">
      <c r="A807"/>
      <c r="B807"/>
      <c r="C807" s="92"/>
      <c r="L807" s="92"/>
      <c r="M807" s="92"/>
      <c r="Q807" s="115"/>
      <c r="R807" s="92"/>
      <c r="S807"/>
      <c r="T807"/>
      <c r="U807"/>
      <c r="V807"/>
      <c r="W807"/>
      <c r="X807"/>
      <c r="Y807"/>
      <c r="Z807"/>
      <c r="AA807"/>
      <c r="AB807"/>
      <c r="AC807"/>
    </row>
    <row r="808" spans="1:29" x14ac:dyDescent="0.25">
      <c r="A808"/>
      <c r="B808"/>
      <c r="C808" s="92"/>
      <c r="L808" s="92"/>
      <c r="M808" s="92"/>
      <c r="Q808" s="115"/>
      <c r="R808" s="92"/>
      <c r="S808"/>
      <c r="T808"/>
      <c r="U808"/>
      <c r="V808"/>
      <c r="W808"/>
      <c r="X808"/>
      <c r="Y808"/>
      <c r="Z808"/>
      <c r="AA808"/>
      <c r="AB808"/>
      <c r="AC808"/>
    </row>
    <row r="809" spans="1:29" x14ac:dyDescent="0.25">
      <c r="A809"/>
      <c r="B809"/>
      <c r="C809" s="92"/>
      <c r="L809" s="92"/>
      <c r="M809" s="92"/>
      <c r="Q809" s="115"/>
      <c r="R809" s="92"/>
      <c r="S809"/>
      <c r="T809"/>
      <c r="U809"/>
      <c r="V809"/>
      <c r="W809"/>
      <c r="X809"/>
      <c r="Y809"/>
      <c r="Z809"/>
      <c r="AA809"/>
      <c r="AB809"/>
      <c r="AC809"/>
    </row>
    <row r="810" spans="1:29" x14ac:dyDescent="0.25">
      <c r="A810"/>
      <c r="B810"/>
      <c r="C810" s="92"/>
      <c r="L810" s="92"/>
      <c r="M810" s="92"/>
      <c r="Q810" s="115"/>
      <c r="R810" s="92"/>
      <c r="S810"/>
      <c r="T810"/>
      <c r="U810"/>
      <c r="V810"/>
      <c r="W810"/>
      <c r="X810"/>
      <c r="Y810"/>
      <c r="Z810"/>
      <c r="AA810"/>
      <c r="AB810"/>
      <c r="AC810"/>
    </row>
    <row r="811" spans="1:29" x14ac:dyDescent="0.25">
      <c r="A811"/>
      <c r="B811"/>
      <c r="C811" s="92"/>
      <c r="L811" s="92"/>
      <c r="M811" s="92"/>
      <c r="Q811" s="115"/>
      <c r="R811" s="92"/>
      <c r="S811"/>
      <c r="T811"/>
      <c r="U811"/>
      <c r="V811"/>
      <c r="W811"/>
      <c r="X811"/>
      <c r="Y811"/>
      <c r="Z811"/>
      <c r="AA811"/>
      <c r="AB811"/>
      <c r="AC811"/>
    </row>
    <row r="812" spans="1:29" x14ac:dyDescent="0.25">
      <c r="A812"/>
      <c r="B812"/>
      <c r="C812" s="92"/>
      <c r="L812" s="92"/>
      <c r="M812" s="92"/>
      <c r="Q812" s="115"/>
      <c r="R812" s="92"/>
      <c r="S812"/>
      <c r="T812"/>
      <c r="U812"/>
      <c r="V812"/>
      <c r="W812"/>
      <c r="X812"/>
      <c r="Y812"/>
      <c r="Z812"/>
      <c r="AA812"/>
      <c r="AB812"/>
      <c r="AC812"/>
    </row>
    <row r="813" spans="1:29" x14ac:dyDescent="0.25">
      <c r="A813"/>
      <c r="B813"/>
      <c r="C813" s="92"/>
      <c r="L813" s="92"/>
      <c r="M813" s="92"/>
      <c r="Q813" s="115"/>
      <c r="R813" s="92"/>
      <c r="S813"/>
      <c r="T813"/>
      <c r="U813"/>
      <c r="V813"/>
      <c r="W813"/>
      <c r="X813"/>
      <c r="Y813"/>
      <c r="Z813"/>
      <c r="AA813"/>
      <c r="AB813"/>
      <c r="AC813"/>
    </row>
    <row r="814" spans="1:29" x14ac:dyDescent="0.25">
      <c r="A814"/>
      <c r="B814"/>
      <c r="C814" s="92"/>
      <c r="L814" s="92"/>
      <c r="M814" s="92"/>
      <c r="Q814" s="115"/>
      <c r="R814" s="92"/>
      <c r="S814"/>
      <c r="T814"/>
      <c r="U814"/>
      <c r="V814"/>
      <c r="W814"/>
      <c r="X814"/>
      <c r="Y814"/>
      <c r="Z814"/>
      <c r="AA814"/>
      <c r="AB814"/>
      <c r="AC814"/>
    </row>
    <row r="815" spans="1:29" x14ac:dyDescent="0.25">
      <c r="A815"/>
      <c r="B815"/>
      <c r="C815" s="92"/>
      <c r="L815" s="92"/>
      <c r="M815" s="92"/>
      <c r="Q815" s="115"/>
      <c r="R815" s="92"/>
      <c r="S815"/>
      <c r="T815"/>
      <c r="U815"/>
      <c r="V815"/>
      <c r="W815"/>
      <c r="X815"/>
      <c r="Y815"/>
      <c r="Z815"/>
      <c r="AA815"/>
      <c r="AB815"/>
      <c r="AC815"/>
    </row>
    <row r="816" spans="1:29" x14ac:dyDescent="0.25">
      <c r="A816"/>
      <c r="B816"/>
      <c r="C816" s="92"/>
      <c r="L816" s="92"/>
      <c r="M816" s="92"/>
      <c r="Q816" s="115"/>
      <c r="R816" s="92"/>
      <c r="S816"/>
      <c r="T816"/>
      <c r="U816"/>
      <c r="V816"/>
      <c r="W816"/>
      <c r="X816"/>
      <c r="Y816"/>
      <c r="Z816"/>
      <c r="AA816"/>
      <c r="AB816"/>
      <c r="AC816"/>
    </row>
    <row r="817" spans="1:29" x14ac:dyDescent="0.25">
      <c r="A817"/>
      <c r="B817"/>
      <c r="C817" s="92"/>
      <c r="L817" s="92"/>
      <c r="M817" s="92"/>
      <c r="Q817" s="115"/>
      <c r="R817" s="92"/>
      <c r="S817"/>
      <c r="T817"/>
      <c r="U817"/>
      <c r="V817"/>
      <c r="W817"/>
      <c r="X817"/>
      <c r="Y817"/>
      <c r="Z817"/>
      <c r="AA817"/>
      <c r="AB817"/>
      <c r="AC817"/>
    </row>
    <row r="818" spans="1:29" x14ac:dyDescent="0.25">
      <c r="A818"/>
      <c r="B818"/>
      <c r="C818" s="92"/>
      <c r="L818" s="92"/>
      <c r="M818" s="92"/>
      <c r="Q818" s="115"/>
      <c r="R818" s="92"/>
      <c r="S818"/>
      <c r="T818"/>
      <c r="U818"/>
      <c r="V818"/>
      <c r="W818"/>
      <c r="X818"/>
      <c r="Y818"/>
      <c r="Z818"/>
      <c r="AA818"/>
      <c r="AB818"/>
      <c r="AC818"/>
    </row>
    <row r="819" spans="1:29" x14ac:dyDescent="0.25">
      <c r="A819"/>
      <c r="B819"/>
      <c r="C819" s="92"/>
      <c r="L819" s="92"/>
      <c r="M819" s="92"/>
      <c r="Q819" s="115"/>
      <c r="R819" s="92"/>
      <c r="S819"/>
      <c r="T819"/>
      <c r="U819"/>
      <c r="V819"/>
      <c r="W819"/>
      <c r="X819"/>
      <c r="Y819"/>
      <c r="Z819"/>
      <c r="AA819"/>
      <c r="AB819"/>
      <c r="AC819"/>
    </row>
    <row r="820" spans="1:29" x14ac:dyDescent="0.25">
      <c r="A820"/>
      <c r="B820"/>
      <c r="C820" s="92"/>
      <c r="L820" s="92"/>
      <c r="M820" s="92"/>
      <c r="Q820" s="115"/>
      <c r="R820" s="92"/>
      <c r="S820"/>
      <c r="T820"/>
      <c r="U820"/>
      <c r="V820"/>
      <c r="W820"/>
      <c r="X820"/>
      <c r="Y820"/>
      <c r="Z820"/>
      <c r="AA820"/>
      <c r="AB820"/>
      <c r="AC820"/>
    </row>
    <row r="821" spans="1:29" x14ac:dyDescent="0.25">
      <c r="A821"/>
      <c r="B821"/>
      <c r="C821" s="92"/>
      <c r="L821" s="92"/>
      <c r="M821" s="92"/>
      <c r="Q821" s="115"/>
      <c r="R821" s="92"/>
      <c r="S821"/>
      <c r="T821"/>
      <c r="U821"/>
      <c r="V821"/>
      <c r="W821"/>
      <c r="X821"/>
      <c r="Y821"/>
      <c r="Z821"/>
      <c r="AA821"/>
      <c r="AB821"/>
      <c r="AC821"/>
    </row>
    <row r="822" spans="1:29" x14ac:dyDescent="0.25">
      <c r="A822"/>
      <c r="B822"/>
      <c r="C822" s="92"/>
      <c r="L822" s="92"/>
      <c r="M822" s="92"/>
      <c r="Q822" s="115"/>
      <c r="R822" s="92"/>
      <c r="S822"/>
      <c r="T822"/>
      <c r="U822"/>
      <c r="V822"/>
      <c r="W822"/>
      <c r="X822"/>
      <c r="Y822"/>
      <c r="Z822"/>
      <c r="AA822"/>
      <c r="AB822"/>
      <c r="AC822"/>
    </row>
    <row r="823" spans="1:29" x14ac:dyDescent="0.25">
      <c r="A823"/>
      <c r="B823"/>
      <c r="C823" s="92"/>
      <c r="L823" s="92"/>
      <c r="M823" s="92"/>
      <c r="Q823" s="115"/>
      <c r="R823" s="92"/>
      <c r="S823"/>
      <c r="T823"/>
      <c r="U823"/>
      <c r="V823"/>
      <c r="W823"/>
      <c r="X823"/>
      <c r="Y823"/>
      <c r="Z823"/>
      <c r="AA823"/>
      <c r="AB823"/>
      <c r="AC823"/>
    </row>
    <row r="824" spans="1:29" x14ac:dyDescent="0.25">
      <c r="A824"/>
      <c r="B824"/>
      <c r="C824" s="92"/>
      <c r="L824" s="92"/>
      <c r="M824" s="92"/>
      <c r="Q824" s="115"/>
      <c r="R824" s="92"/>
      <c r="S824"/>
      <c r="T824"/>
      <c r="U824"/>
      <c r="V824"/>
      <c r="W824"/>
      <c r="X824"/>
      <c r="Y824"/>
      <c r="Z824"/>
      <c r="AA824"/>
      <c r="AB824"/>
      <c r="AC824"/>
    </row>
    <row r="825" spans="1:29" x14ac:dyDescent="0.25">
      <c r="A825"/>
      <c r="B825"/>
      <c r="C825" s="92"/>
      <c r="L825" s="92"/>
      <c r="M825" s="92"/>
      <c r="Q825" s="115"/>
      <c r="R825" s="92"/>
      <c r="S825"/>
      <c r="T825"/>
      <c r="U825"/>
      <c r="V825"/>
      <c r="W825"/>
      <c r="X825"/>
      <c r="Y825"/>
      <c r="Z825"/>
      <c r="AA825"/>
      <c r="AB825"/>
      <c r="AC825"/>
    </row>
    <row r="826" spans="1:29" x14ac:dyDescent="0.25">
      <c r="A826"/>
      <c r="B826"/>
      <c r="C826" s="92"/>
      <c r="L826" s="92"/>
      <c r="M826" s="92"/>
      <c r="Q826" s="115"/>
      <c r="R826" s="92"/>
      <c r="S826"/>
      <c r="T826"/>
      <c r="U826"/>
      <c r="V826"/>
      <c r="W826"/>
      <c r="X826"/>
      <c r="Y826"/>
      <c r="Z826"/>
      <c r="AA826"/>
      <c r="AB826"/>
      <c r="AC826"/>
    </row>
    <row r="827" spans="1:29" x14ac:dyDescent="0.25">
      <c r="A827"/>
      <c r="B827"/>
      <c r="C827" s="92"/>
      <c r="L827" s="92"/>
      <c r="M827" s="92"/>
      <c r="Q827" s="115"/>
      <c r="R827" s="92"/>
      <c r="S827"/>
      <c r="T827"/>
      <c r="U827"/>
      <c r="V827"/>
      <c r="W827"/>
      <c r="X827"/>
      <c r="Y827"/>
      <c r="Z827"/>
      <c r="AA827"/>
      <c r="AB827"/>
      <c r="AC827"/>
    </row>
    <row r="828" spans="1:29" x14ac:dyDescent="0.25">
      <c r="A828"/>
      <c r="B828"/>
      <c r="C828" s="92"/>
      <c r="L828" s="92"/>
      <c r="M828" s="92"/>
      <c r="Q828" s="115"/>
      <c r="R828" s="92"/>
      <c r="S828"/>
      <c r="T828"/>
      <c r="U828"/>
      <c r="V828"/>
      <c r="W828"/>
      <c r="X828"/>
      <c r="Y828"/>
      <c r="Z828"/>
      <c r="AA828"/>
      <c r="AB828"/>
      <c r="AC828"/>
    </row>
    <row r="829" spans="1:29" x14ac:dyDescent="0.25">
      <c r="A829"/>
      <c r="B829"/>
      <c r="C829" s="92"/>
      <c r="L829" s="92"/>
      <c r="M829" s="92"/>
      <c r="Q829" s="115"/>
      <c r="R829" s="92"/>
      <c r="S829"/>
      <c r="T829"/>
      <c r="U829"/>
      <c r="V829"/>
      <c r="W829"/>
      <c r="X829"/>
      <c r="Y829"/>
      <c r="Z829"/>
      <c r="AA829"/>
      <c r="AB829"/>
      <c r="AC829"/>
    </row>
    <row r="830" spans="1:29" x14ac:dyDescent="0.25">
      <c r="A830"/>
      <c r="B830"/>
      <c r="C830" s="92"/>
      <c r="L830" s="92"/>
      <c r="M830" s="92"/>
      <c r="Q830" s="115"/>
      <c r="R830" s="92"/>
      <c r="S830"/>
      <c r="T830"/>
      <c r="U830"/>
      <c r="V830"/>
      <c r="W830"/>
      <c r="X830"/>
      <c r="Y830"/>
      <c r="Z830"/>
      <c r="AA830"/>
      <c r="AB830"/>
      <c r="AC830"/>
    </row>
    <row r="831" spans="1:29" x14ac:dyDescent="0.25">
      <c r="A831"/>
      <c r="B831"/>
      <c r="C831" s="92"/>
      <c r="L831" s="92"/>
      <c r="M831" s="92"/>
      <c r="Q831" s="115"/>
      <c r="R831" s="92"/>
      <c r="S831"/>
      <c r="T831"/>
      <c r="U831"/>
      <c r="V831"/>
      <c r="W831"/>
      <c r="X831"/>
      <c r="Y831"/>
      <c r="Z831"/>
      <c r="AA831"/>
      <c r="AB831"/>
      <c r="AC831"/>
    </row>
    <row r="832" spans="1:29" x14ac:dyDescent="0.25">
      <c r="A832"/>
      <c r="B832"/>
      <c r="C832" s="92"/>
      <c r="L832" s="92"/>
      <c r="M832" s="92"/>
      <c r="Q832" s="115"/>
      <c r="R832" s="92"/>
      <c r="S832"/>
      <c r="T832"/>
      <c r="U832"/>
      <c r="V832"/>
      <c r="W832"/>
      <c r="X832"/>
      <c r="Y832"/>
      <c r="Z832"/>
      <c r="AA832"/>
      <c r="AB832"/>
      <c r="AC832"/>
    </row>
    <row r="833" spans="1:29" x14ac:dyDescent="0.25">
      <c r="A833"/>
      <c r="B833"/>
      <c r="C833" s="92"/>
      <c r="L833" s="92"/>
      <c r="M833" s="92"/>
      <c r="Q833" s="115"/>
      <c r="R833" s="92"/>
      <c r="S833"/>
      <c r="T833"/>
      <c r="U833"/>
      <c r="V833"/>
      <c r="W833"/>
      <c r="X833"/>
      <c r="Y833"/>
      <c r="Z833"/>
      <c r="AA833"/>
      <c r="AB833"/>
      <c r="AC833"/>
    </row>
    <row r="834" spans="1:29" x14ac:dyDescent="0.25">
      <c r="A834"/>
      <c r="B834"/>
      <c r="C834" s="92"/>
      <c r="L834" s="92"/>
      <c r="M834" s="92"/>
      <c r="Q834" s="115"/>
      <c r="R834" s="92"/>
      <c r="S834"/>
      <c r="T834"/>
      <c r="U834"/>
      <c r="V834"/>
      <c r="W834"/>
      <c r="X834"/>
      <c r="Y834"/>
      <c r="Z834"/>
      <c r="AA834"/>
      <c r="AB834"/>
      <c r="AC834"/>
    </row>
    <row r="835" spans="1:29" x14ac:dyDescent="0.25">
      <c r="A835"/>
      <c r="B835"/>
      <c r="C835" s="92"/>
      <c r="L835" s="92"/>
      <c r="M835" s="92"/>
      <c r="Q835" s="115"/>
      <c r="R835" s="92"/>
      <c r="S835"/>
      <c r="T835"/>
      <c r="U835"/>
      <c r="V835"/>
      <c r="W835"/>
      <c r="X835"/>
      <c r="Y835"/>
      <c r="Z835"/>
      <c r="AA835"/>
      <c r="AB835"/>
      <c r="AC835"/>
    </row>
    <row r="836" spans="1:29" x14ac:dyDescent="0.25">
      <c r="A836"/>
      <c r="B836"/>
      <c r="C836" s="92"/>
      <c r="L836" s="92"/>
      <c r="M836" s="92"/>
      <c r="Q836" s="115"/>
      <c r="R836" s="92"/>
      <c r="S836"/>
      <c r="T836"/>
      <c r="U836"/>
      <c r="V836"/>
      <c r="W836"/>
      <c r="X836"/>
      <c r="Y836"/>
      <c r="Z836"/>
      <c r="AA836"/>
      <c r="AB836"/>
      <c r="AC836"/>
    </row>
    <row r="837" spans="1:29" x14ac:dyDescent="0.25">
      <c r="A837"/>
      <c r="B837"/>
      <c r="C837" s="92"/>
      <c r="L837" s="92"/>
      <c r="M837" s="92"/>
      <c r="Q837" s="115"/>
      <c r="R837" s="92"/>
      <c r="S837"/>
      <c r="T837"/>
      <c r="U837"/>
      <c r="V837"/>
      <c r="W837"/>
      <c r="X837"/>
      <c r="Y837"/>
      <c r="Z837"/>
      <c r="AA837"/>
      <c r="AB837"/>
      <c r="AC837"/>
    </row>
    <row r="838" spans="1:29" x14ac:dyDescent="0.25">
      <c r="A838"/>
      <c r="B838"/>
      <c r="C838" s="92"/>
      <c r="L838" s="92"/>
      <c r="M838" s="92"/>
      <c r="Q838" s="115"/>
      <c r="R838" s="92"/>
      <c r="S838"/>
      <c r="T838"/>
      <c r="U838"/>
      <c r="V838"/>
      <c r="W838"/>
      <c r="X838"/>
      <c r="Y838"/>
      <c r="Z838"/>
      <c r="AA838"/>
      <c r="AB838"/>
      <c r="AC838"/>
    </row>
    <row r="839" spans="1:29" x14ac:dyDescent="0.25">
      <c r="A839"/>
      <c r="B839"/>
      <c r="C839" s="92"/>
      <c r="L839" s="92"/>
      <c r="M839" s="92"/>
      <c r="Q839" s="115"/>
      <c r="R839" s="92"/>
      <c r="S839"/>
      <c r="T839"/>
      <c r="U839"/>
      <c r="V839"/>
      <c r="W839"/>
      <c r="X839"/>
      <c r="Y839"/>
      <c r="Z839"/>
      <c r="AA839"/>
      <c r="AB839"/>
      <c r="AC839"/>
    </row>
    <row r="840" spans="1:29" x14ac:dyDescent="0.25">
      <c r="A840"/>
      <c r="B840"/>
      <c r="C840" s="92"/>
      <c r="L840" s="92"/>
      <c r="M840" s="92"/>
      <c r="Q840" s="115"/>
      <c r="R840" s="92"/>
      <c r="S840"/>
      <c r="T840"/>
      <c r="U840"/>
      <c r="V840"/>
      <c r="W840"/>
      <c r="X840"/>
      <c r="Y840"/>
      <c r="Z840"/>
      <c r="AA840"/>
      <c r="AB840"/>
      <c r="AC840"/>
    </row>
    <row r="841" spans="1:29" x14ac:dyDescent="0.25">
      <c r="A841"/>
      <c r="B841"/>
      <c r="C841" s="92"/>
      <c r="L841" s="92"/>
      <c r="M841" s="92"/>
      <c r="Q841" s="115"/>
      <c r="R841" s="92"/>
      <c r="S841"/>
      <c r="T841"/>
      <c r="U841"/>
      <c r="V841"/>
      <c r="W841"/>
      <c r="X841"/>
      <c r="Y841"/>
      <c r="Z841"/>
      <c r="AA841"/>
      <c r="AB841"/>
      <c r="AC841"/>
    </row>
    <row r="842" spans="1:29" x14ac:dyDescent="0.25">
      <c r="A842"/>
      <c r="B842"/>
      <c r="C842" s="92"/>
      <c r="L842" s="92"/>
      <c r="M842" s="92"/>
      <c r="Q842" s="115"/>
      <c r="R842" s="92"/>
      <c r="S842"/>
      <c r="T842"/>
      <c r="U842"/>
      <c r="V842"/>
      <c r="W842"/>
      <c r="X842"/>
      <c r="Y842"/>
      <c r="Z842"/>
      <c r="AA842"/>
      <c r="AB842"/>
      <c r="AC842"/>
    </row>
    <row r="843" spans="1:29" x14ac:dyDescent="0.25">
      <c r="A843"/>
      <c r="B843"/>
      <c r="C843" s="92"/>
      <c r="L843" s="92"/>
      <c r="M843" s="92"/>
      <c r="Q843" s="115"/>
      <c r="R843" s="92"/>
      <c r="S843"/>
      <c r="T843"/>
      <c r="U843"/>
      <c r="V843"/>
      <c r="W843"/>
      <c r="X843"/>
      <c r="Y843"/>
      <c r="Z843"/>
      <c r="AA843"/>
      <c r="AB843"/>
      <c r="AC843"/>
    </row>
    <row r="844" spans="1:29" x14ac:dyDescent="0.25">
      <c r="A844"/>
      <c r="B844"/>
      <c r="C844" s="92"/>
      <c r="L844" s="92"/>
      <c r="M844" s="92"/>
      <c r="Q844" s="115"/>
      <c r="R844" s="92"/>
      <c r="S844"/>
      <c r="T844"/>
      <c r="U844"/>
      <c r="V844"/>
      <c r="W844"/>
      <c r="X844"/>
      <c r="Y844"/>
      <c r="Z844"/>
      <c r="AA844"/>
      <c r="AB844"/>
      <c r="AC844"/>
    </row>
    <row r="845" spans="1:29" x14ac:dyDescent="0.25">
      <c r="A845"/>
      <c r="B845"/>
      <c r="C845" s="92"/>
      <c r="L845" s="92"/>
      <c r="M845" s="92"/>
      <c r="Q845" s="115"/>
      <c r="R845" s="92"/>
      <c r="S845"/>
      <c r="T845"/>
      <c r="U845"/>
      <c r="V845"/>
      <c r="W845"/>
      <c r="X845"/>
      <c r="Y845"/>
      <c r="Z845"/>
      <c r="AA845"/>
      <c r="AB845"/>
      <c r="AC845"/>
    </row>
    <row r="846" spans="1:29" x14ac:dyDescent="0.25">
      <c r="A846"/>
      <c r="B846"/>
      <c r="C846" s="92"/>
      <c r="L846" s="92"/>
      <c r="M846" s="92"/>
      <c r="Q846" s="115"/>
      <c r="R846" s="92"/>
      <c r="S846"/>
      <c r="T846"/>
      <c r="U846"/>
      <c r="V846"/>
      <c r="W846"/>
      <c r="X846"/>
      <c r="Y846"/>
      <c r="Z846"/>
      <c r="AA846"/>
      <c r="AB846"/>
      <c r="AC846"/>
    </row>
    <row r="847" spans="1:29" x14ac:dyDescent="0.25">
      <c r="A847"/>
      <c r="B847"/>
      <c r="C847" s="92"/>
      <c r="L847" s="92"/>
      <c r="M847" s="92"/>
      <c r="Q847" s="115"/>
      <c r="R847" s="92"/>
      <c r="S847"/>
      <c r="T847"/>
      <c r="U847"/>
      <c r="V847"/>
      <c r="W847"/>
      <c r="X847"/>
      <c r="Y847"/>
      <c r="Z847"/>
      <c r="AA847"/>
      <c r="AB847"/>
      <c r="AC847"/>
    </row>
    <row r="848" spans="1:29" x14ac:dyDescent="0.25">
      <c r="A848"/>
      <c r="B848"/>
      <c r="C848" s="92"/>
      <c r="L848" s="92"/>
      <c r="M848" s="92"/>
      <c r="Q848" s="115"/>
      <c r="R848" s="92"/>
      <c r="S848"/>
      <c r="T848"/>
      <c r="U848"/>
      <c r="V848"/>
      <c r="W848"/>
      <c r="X848"/>
      <c r="Y848"/>
      <c r="Z848"/>
      <c r="AA848"/>
      <c r="AB848"/>
      <c r="AC848"/>
    </row>
    <row r="849" spans="1:29" x14ac:dyDescent="0.25">
      <c r="A849"/>
      <c r="B849"/>
      <c r="C849" s="92"/>
      <c r="L849" s="92"/>
      <c r="M849" s="92"/>
      <c r="Q849" s="115"/>
      <c r="R849" s="92"/>
      <c r="S849"/>
      <c r="T849"/>
      <c r="U849"/>
      <c r="V849"/>
      <c r="W849"/>
      <c r="X849"/>
      <c r="Y849"/>
      <c r="Z849"/>
      <c r="AA849"/>
      <c r="AB849"/>
      <c r="AC849"/>
    </row>
    <row r="850" spans="1:29" x14ac:dyDescent="0.25">
      <c r="A850"/>
      <c r="B850"/>
      <c r="C850" s="92"/>
      <c r="L850" s="92"/>
      <c r="M850" s="92"/>
      <c r="Q850" s="115"/>
      <c r="R850" s="92"/>
      <c r="S850"/>
      <c r="T850"/>
      <c r="U850"/>
      <c r="V850"/>
      <c r="W850"/>
      <c r="X850"/>
      <c r="Y850"/>
      <c r="Z850"/>
      <c r="AA850"/>
      <c r="AB850"/>
      <c r="AC850"/>
    </row>
    <row r="851" spans="1:29" x14ac:dyDescent="0.25">
      <c r="A851"/>
      <c r="B851"/>
      <c r="C851" s="92"/>
      <c r="L851" s="92"/>
      <c r="M851" s="92"/>
      <c r="Q851" s="115"/>
      <c r="R851" s="92"/>
      <c r="S851"/>
      <c r="T851"/>
      <c r="U851"/>
      <c r="V851"/>
      <c r="W851"/>
      <c r="X851"/>
      <c r="Y851"/>
      <c r="Z851"/>
      <c r="AA851"/>
      <c r="AB851"/>
      <c r="AC851"/>
    </row>
    <row r="852" spans="1:29" x14ac:dyDescent="0.25">
      <c r="A852"/>
      <c r="B852"/>
      <c r="C852" s="92"/>
      <c r="L852" s="92"/>
      <c r="M852" s="92"/>
      <c r="Q852" s="115"/>
      <c r="R852" s="92"/>
      <c r="S852"/>
      <c r="T852"/>
      <c r="U852"/>
      <c r="V852"/>
      <c r="W852"/>
      <c r="X852"/>
      <c r="Y852"/>
      <c r="Z852"/>
      <c r="AA852"/>
      <c r="AB852"/>
      <c r="AC852"/>
    </row>
    <row r="853" spans="1:29" x14ac:dyDescent="0.25">
      <c r="A853"/>
      <c r="B853"/>
      <c r="C853" s="92"/>
      <c r="L853" s="92"/>
      <c r="M853" s="92"/>
      <c r="Q853" s="115"/>
      <c r="R853" s="92"/>
      <c r="S853"/>
      <c r="T853"/>
      <c r="U853"/>
      <c r="V853"/>
      <c r="W853"/>
      <c r="X853"/>
      <c r="Y853"/>
      <c r="Z853"/>
      <c r="AA853"/>
      <c r="AB853"/>
      <c r="AC853"/>
    </row>
    <row r="854" spans="1:29" x14ac:dyDescent="0.25">
      <c r="A854"/>
      <c r="B854"/>
      <c r="C854" s="92"/>
      <c r="L854" s="92"/>
      <c r="M854" s="92"/>
      <c r="Q854" s="115"/>
      <c r="R854" s="92"/>
      <c r="S854"/>
      <c r="T854"/>
      <c r="U854"/>
      <c r="V854"/>
      <c r="W854"/>
      <c r="X854"/>
      <c r="Y854"/>
      <c r="Z854"/>
      <c r="AA854"/>
      <c r="AB854"/>
      <c r="AC854"/>
    </row>
    <row r="855" spans="1:29" x14ac:dyDescent="0.25">
      <c r="A855"/>
      <c r="B855"/>
      <c r="C855" s="92"/>
      <c r="L855" s="92"/>
      <c r="M855" s="92"/>
      <c r="Q855" s="115"/>
      <c r="R855" s="92"/>
      <c r="S855"/>
      <c r="T855"/>
      <c r="U855"/>
      <c r="V855"/>
      <c r="W855"/>
      <c r="X855"/>
      <c r="Y855"/>
      <c r="Z855"/>
      <c r="AA855"/>
      <c r="AB855"/>
      <c r="AC855"/>
    </row>
    <row r="856" spans="1:29" x14ac:dyDescent="0.25">
      <c r="A856"/>
      <c r="B856"/>
      <c r="C856" s="92"/>
      <c r="L856" s="92"/>
      <c r="M856" s="92"/>
      <c r="Q856" s="115"/>
      <c r="R856" s="92"/>
      <c r="S856"/>
      <c r="T856"/>
      <c r="U856"/>
      <c r="V856"/>
      <c r="W856"/>
      <c r="X856"/>
      <c r="Y856"/>
      <c r="Z856"/>
      <c r="AA856"/>
      <c r="AB856"/>
      <c r="AC856"/>
    </row>
    <row r="857" spans="1:29" x14ac:dyDescent="0.25">
      <c r="A857"/>
      <c r="B857"/>
      <c r="C857" s="92"/>
      <c r="L857" s="92"/>
      <c r="M857" s="92"/>
      <c r="Q857" s="115"/>
      <c r="R857" s="92"/>
      <c r="S857"/>
      <c r="T857"/>
      <c r="U857"/>
      <c r="V857"/>
      <c r="W857"/>
      <c r="X857"/>
      <c r="Y857"/>
      <c r="Z857"/>
      <c r="AA857"/>
      <c r="AB857"/>
      <c r="AC857"/>
    </row>
    <row r="858" spans="1:29" x14ac:dyDescent="0.25">
      <c r="A858"/>
      <c r="B858"/>
      <c r="C858" s="92"/>
      <c r="L858" s="92"/>
      <c r="M858" s="92"/>
      <c r="Q858" s="115"/>
      <c r="R858" s="92"/>
      <c r="S858"/>
      <c r="T858"/>
      <c r="U858"/>
      <c r="V858"/>
      <c r="W858"/>
      <c r="X858"/>
      <c r="Y858"/>
      <c r="Z858"/>
      <c r="AA858"/>
      <c r="AB858"/>
      <c r="AC858"/>
    </row>
    <row r="859" spans="1:29" x14ac:dyDescent="0.25">
      <c r="A859"/>
      <c r="B859"/>
      <c r="C859" s="92"/>
      <c r="L859" s="92"/>
      <c r="M859" s="92"/>
      <c r="Q859" s="115"/>
      <c r="R859" s="92"/>
      <c r="S859"/>
      <c r="T859"/>
      <c r="U859"/>
      <c r="V859"/>
      <c r="W859"/>
      <c r="X859"/>
      <c r="Y859"/>
      <c r="Z859"/>
      <c r="AA859"/>
      <c r="AB859"/>
      <c r="AC859"/>
    </row>
    <row r="860" spans="1:29" x14ac:dyDescent="0.25">
      <c r="A860"/>
      <c r="B860"/>
      <c r="C860" s="92"/>
      <c r="L860" s="92"/>
      <c r="M860" s="92"/>
      <c r="Q860" s="115"/>
      <c r="R860" s="92"/>
      <c r="S860"/>
      <c r="T860"/>
      <c r="U860"/>
      <c r="V860"/>
      <c r="W860"/>
      <c r="X860"/>
      <c r="Y860"/>
      <c r="Z860"/>
      <c r="AA860"/>
      <c r="AB860"/>
      <c r="AC860"/>
    </row>
    <row r="861" spans="1:29" x14ac:dyDescent="0.25">
      <c r="A861"/>
      <c r="B861"/>
      <c r="C861" s="92"/>
      <c r="L861" s="92"/>
      <c r="M861" s="92"/>
      <c r="Q861" s="115"/>
      <c r="R861" s="92"/>
      <c r="S861"/>
      <c r="T861"/>
      <c r="U861"/>
      <c r="V861"/>
      <c r="W861"/>
      <c r="X861"/>
      <c r="Y861"/>
      <c r="Z861"/>
      <c r="AA861"/>
      <c r="AB861"/>
      <c r="AC861"/>
    </row>
    <row r="862" spans="1:29" x14ac:dyDescent="0.25">
      <c r="A862"/>
      <c r="B862"/>
      <c r="C862" s="92"/>
      <c r="L862" s="92"/>
      <c r="M862" s="92"/>
      <c r="Q862" s="115"/>
      <c r="R862" s="92"/>
      <c r="S862"/>
      <c r="T862"/>
      <c r="U862"/>
      <c r="V862"/>
      <c r="W862"/>
      <c r="X862"/>
      <c r="Y862"/>
      <c r="Z862"/>
      <c r="AA862"/>
      <c r="AB862"/>
      <c r="AC862"/>
    </row>
    <row r="863" spans="1:29" x14ac:dyDescent="0.25">
      <c r="A863"/>
      <c r="B863"/>
      <c r="C863" s="92"/>
      <c r="L863" s="92"/>
      <c r="M863" s="92"/>
      <c r="Q863" s="115"/>
      <c r="R863" s="92"/>
      <c r="S863"/>
      <c r="T863"/>
      <c r="U863"/>
      <c r="V863"/>
      <c r="W863"/>
      <c r="X863"/>
      <c r="Y863"/>
      <c r="Z863"/>
      <c r="AA863"/>
      <c r="AB863"/>
      <c r="AC863"/>
    </row>
    <row r="864" spans="1:29" x14ac:dyDescent="0.25">
      <c r="A864"/>
      <c r="B864"/>
      <c r="C864" s="92"/>
      <c r="L864" s="92"/>
      <c r="M864" s="92"/>
      <c r="Q864" s="115"/>
      <c r="R864" s="92"/>
      <c r="S864"/>
      <c r="T864"/>
      <c r="U864"/>
      <c r="V864"/>
      <c r="W864"/>
      <c r="X864"/>
      <c r="Y864"/>
      <c r="Z864"/>
      <c r="AA864"/>
      <c r="AB864"/>
      <c r="AC864"/>
    </row>
    <row r="865" spans="1:29" x14ac:dyDescent="0.25">
      <c r="A865"/>
      <c r="B865"/>
      <c r="C865" s="92"/>
      <c r="L865" s="92"/>
      <c r="M865" s="92"/>
      <c r="Q865" s="115"/>
      <c r="R865" s="92"/>
      <c r="S865"/>
      <c r="T865"/>
      <c r="U865"/>
      <c r="V865"/>
      <c r="W865"/>
      <c r="X865"/>
      <c r="Y865"/>
      <c r="Z865"/>
      <c r="AA865"/>
      <c r="AB865"/>
      <c r="AC865"/>
    </row>
    <row r="866" spans="1:29" x14ac:dyDescent="0.25">
      <c r="A866"/>
      <c r="B866"/>
      <c r="C866" s="92"/>
      <c r="L866" s="92"/>
      <c r="M866" s="92"/>
      <c r="Q866" s="115"/>
      <c r="R866" s="92"/>
      <c r="S866"/>
      <c r="T866"/>
      <c r="U866"/>
      <c r="V866"/>
      <c r="W866"/>
      <c r="X866"/>
      <c r="Y866"/>
      <c r="Z866"/>
      <c r="AA866"/>
      <c r="AB866"/>
      <c r="AC866"/>
    </row>
    <row r="867" spans="1:29" x14ac:dyDescent="0.25">
      <c r="A867"/>
      <c r="B867"/>
      <c r="C867" s="92"/>
      <c r="L867" s="92"/>
      <c r="M867" s="92"/>
      <c r="Q867" s="115"/>
      <c r="R867" s="92"/>
      <c r="S867"/>
      <c r="T867"/>
      <c r="U867"/>
      <c r="V867"/>
      <c r="W867"/>
      <c r="X867"/>
      <c r="Y867"/>
      <c r="Z867"/>
      <c r="AA867"/>
      <c r="AB867"/>
      <c r="AC867"/>
    </row>
    <row r="868" spans="1:29" x14ac:dyDescent="0.25">
      <c r="A868"/>
      <c r="B868"/>
      <c r="C868" s="92"/>
      <c r="L868" s="92"/>
      <c r="M868" s="92"/>
      <c r="Q868" s="115"/>
      <c r="R868" s="92"/>
      <c r="S868"/>
      <c r="T868"/>
      <c r="U868"/>
      <c r="V868"/>
      <c r="W868"/>
      <c r="X868"/>
      <c r="Y868"/>
      <c r="Z868"/>
      <c r="AA868"/>
      <c r="AB868"/>
      <c r="AC868"/>
    </row>
    <row r="869" spans="1:29" x14ac:dyDescent="0.25">
      <c r="A869"/>
      <c r="B869"/>
      <c r="C869" s="92"/>
      <c r="L869" s="92"/>
      <c r="M869" s="92"/>
      <c r="Q869" s="115"/>
      <c r="R869" s="92"/>
      <c r="S869"/>
      <c r="T869"/>
      <c r="U869"/>
      <c r="V869"/>
      <c r="W869"/>
      <c r="X869"/>
      <c r="Y869"/>
      <c r="Z869"/>
      <c r="AA869"/>
      <c r="AB869"/>
      <c r="AC869"/>
    </row>
    <row r="870" spans="1:29" x14ac:dyDescent="0.25">
      <c r="A870"/>
      <c r="B870"/>
      <c r="C870" s="92"/>
      <c r="L870" s="92"/>
      <c r="M870" s="92"/>
      <c r="Q870" s="115"/>
      <c r="R870" s="92"/>
      <c r="S870"/>
      <c r="T870"/>
      <c r="U870"/>
      <c r="V870"/>
      <c r="W870"/>
      <c r="X870"/>
      <c r="Y870"/>
      <c r="Z870"/>
      <c r="AA870"/>
      <c r="AB870"/>
      <c r="AC870"/>
    </row>
    <row r="871" spans="1:29" x14ac:dyDescent="0.25">
      <c r="A871"/>
      <c r="B871"/>
      <c r="C871" s="92"/>
      <c r="L871" s="92"/>
      <c r="M871" s="92"/>
      <c r="Q871" s="115"/>
      <c r="R871" s="92"/>
      <c r="S871"/>
      <c r="T871"/>
      <c r="U871"/>
      <c r="V871"/>
      <c r="W871"/>
      <c r="X871"/>
      <c r="Y871"/>
      <c r="Z871"/>
      <c r="AA871"/>
      <c r="AB871"/>
      <c r="AC871"/>
    </row>
    <row r="872" spans="1:29" x14ac:dyDescent="0.25">
      <c r="A872"/>
      <c r="B872"/>
      <c r="C872" s="92"/>
      <c r="L872" s="92"/>
      <c r="M872" s="92"/>
      <c r="Q872" s="115"/>
      <c r="R872" s="92"/>
      <c r="S872"/>
      <c r="T872"/>
      <c r="U872"/>
      <c r="V872"/>
      <c r="W872"/>
      <c r="X872"/>
      <c r="Y872"/>
      <c r="Z872"/>
      <c r="AA872"/>
      <c r="AB872"/>
      <c r="AC872"/>
    </row>
    <row r="873" spans="1:29" x14ac:dyDescent="0.25">
      <c r="A873"/>
      <c r="B873"/>
      <c r="C873" s="92"/>
      <c r="L873" s="92"/>
      <c r="M873" s="92"/>
      <c r="Q873" s="115"/>
      <c r="R873" s="92"/>
      <c r="S873"/>
      <c r="T873"/>
      <c r="U873"/>
      <c r="V873"/>
      <c r="W873"/>
      <c r="X873"/>
      <c r="Y873"/>
      <c r="Z873"/>
      <c r="AA873"/>
      <c r="AB873"/>
      <c r="AC873"/>
    </row>
    <row r="874" spans="1:29" x14ac:dyDescent="0.25">
      <c r="A874"/>
      <c r="B874"/>
      <c r="C874" s="92"/>
      <c r="L874" s="92"/>
      <c r="M874" s="92"/>
      <c r="Q874" s="115"/>
      <c r="R874" s="92"/>
      <c r="S874"/>
      <c r="T874"/>
      <c r="U874"/>
      <c r="V874"/>
      <c r="W874"/>
      <c r="X874"/>
      <c r="Y874"/>
      <c r="Z874"/>
      <c r="AA874"/>
      <c r="AB874"/>
      <c r="AC874"/>
    </row>
    <row r="875" spans="1:29" x14ac:dyDescent="0.25">
      <c r="A875"/>
      <c r="B875"/>
      <c r="C875" s="92"/>
      <c r="L875" s="92"/>
      <c r="M875" s="92"/>
      <c r="Q875" s="115"/>
      <c r="R875" s="92"/>
      <c r="S875"/>
      <c r="T875"/>
      <c r="U875"/>
      <c r="V875"/>
      <c r="W875"/>
      <c r="X875"/>
      <c r="Y875"/>
      <c r="Z875"/>
      <c r="AA875"/>
      <c r="AB875"/>
      <c r="AC875"/>
    </row>
    <row r="876" spans="1:29" x14ac:dyDescent="0.25">
      <c r="A876"/>
      <c r="B876"/>
      <c r="C876" s="92"/>
      <c r="L876" s="92"/>
      <c r="M876" s="92"/>
      <c r="Q876" s="115"/>
      <c r="R876" s="92"/>
      <c r="S876"/>
      <c r="T876"/>
      <c r="U876"/>
      <c r="V876"/>
      <c r="W876"/>
      <c r="X876"/>
      <c r="Y876"/>
      <c r="Z876"/>
      <c r="AA876"/>
      <c r="AB876"/>
      <c r="AC876"/>
    </row>
    <row r="877" spans="1:29" x14ac:dyDescent="0.25">
      <c r="A877"/>
      <c r="B877"/>
      <c r="C877" s="92"/>
      <c r="L877" s="92"/>
      <c r="M877" s="92"/>
      <c r="Q877" s="115"/>
      <c r="R877" s="92"/>
      <c r="S877"/>
      <c r="T877"/>
      <c r="U877"/>
      <c r="V877"/>
      <c r="W877"/>
      <c r="X877"/>
      <c r="Y877"/>
      <c r="Z877"/>
      <c r="AA877"/>
      <c r="AB877"/>
      <c r="AC877"/>
    </row>
    <row r="878" spans="1:29" x14ac:dyDescent="0.25">
      <c r="A878"/>
      <c r="B878"/>
      <c r="C878" s="92"/>
      <c r="L878" s="92"/>
      <c r="M878" s="92"/>
      <c r="Q878" s="115"/>
      <c r="R878" s="92"/>
      <c r="S878"/>
      <c r="T878"/>
      <c r="U878"/>
      <c r="V878"/>
      <c r="W878"/>
      <c r="X878"/>
      <c r="Y878"/>
      <c r="Z878"/>
      <c r="AA878"/>
      <c r="AB878"/>
      <c r="AC878"/>
    </row>
    <row r="879" spans="1:29" x14ac:dyDescent="0.25">
      <c r="A879"/>
      <c r="B879"/>
      <c r="C879" s="92"/>
      <c r="L879" s="92"/>
      <c r="M879" s="92"/>
      <c r="Q879" s="115"/>
      <c r="R879" s="92"/>
      <c r="S879"/>
      <c r="T879"/>
      <c r="U879"/>
      <c r="V879"/>
      <c r="W879"/>
      <c r="X879"/>
      <c r="Y879"/>
      <c r="Z879"/>
      <c r="AA879"/>
      <c r="AB879"/>
      <c r="AC879"/>
    </row>
    <row r="880" spans="1:29" x14ac:dyDescent="0.25">
      <c r="A880"/>
      <c r="B880"/>
      <c r="C880" s="92"/>
      <c r="L880" s="92"/>
      <c r="M880" s="92"/>
      <c r="Q880" s="115"/>
      <c r="R880" s="92"/>
      <c r="S880"/>
      <c r="T880"/>
      <c r="U880"/>
      <c r="V880"/>
      <c r="W880"/>
      <c r="X880"/>
      <c r="Y880"/>
      <c r="Z880"/>
      <c r="AA880"/>
      <c r="AB880"/>
      <c r="AC880"/>
    </row>
    <row r="881" spans="1:29" x14ac:dyDescent="0.25">
      <c r="A881"/>
      <c r="B881"/>
      <c r="C881" s="92"/>
      <c r="L881" s="92"/>
      <c r="M881" s="92"/>
      <c r="Q881" s="115"/>
      <c r="R881" s="92"/>
      <c r="S881"/>
      <c r="T881"/>
      <c r="U881"/>
      <c r="V881"/>
      <c r="W881"/>
      <c r="X881"/>
      <c r="Y881"/>
      <c r="Z881"/>
      <c r="AA881"/>
      <c r="AB881"/>
      <c r="AC881"/>
    </row>
    <row r="882" spans="1:29" x14ac:dyDescent="0.25">
      <c r="A882"/>
      <c r="B882"/>
      <c r="C882" s="92"/>
      <c r="L882" s="92"/>
      <c r="M882" s="92"/>
      <c r="Q882" s="115"/>
      <c r="R882" s="92"/>
      <c r="S882"/>
      <c r="T882"/>
      <c r="U882"/>
      <c r="V882"/>
      <c r="W882"/>
      <c r="X882"/>
      <c r="Y882"/>
      <c r="Z882"/>
      <c r="AA882"/>
      <c r="AB882"/>
      <c r="AC882"/>
    </row>
    <row r="883" spans="1:29" x14ac:dyDescent="0.25">
      <c r="A883"/>
      <c r="B883"/>
      <c r="C883" s="92"/>
      <c r="L883" s="92"/>
      <c r="M883" s="92"/>
      <c r="Q883" s="115"/>
      <c r="R883" s="92"/>
      <c r="S883"/>
      <c r="T883"/>
      <c r="U883"/>
      <c r="V883"/>
      <c r="W883"/>
      <c r="X883"/>
      <c r="Y883"/>
      <c r="Z883"/>
      <c r="AA883"/>
      <c r="AB883"/>
      <c r="AC883"/>
    </row>
    <row r="884" spans="1:29" x14ac:dyDescent="0.25">
      <c r="A884"/>
      <c r="B884"/>
      <c r="C884" s="92"/>
      <c r="L884" s="92"/>
      <c r="M884" s="92"/>
      <c r="Q884" s="115"/>
      <c r="R884" s="92"/>
      <c r="S884"/>
      <c r="T884"/>
      <c r="U884"/>
      <c r="V884"/>
      <c r="W884"/>
      <c r="X884"/>
      <c r="Y884"/>
      <c r="Z884"/>
      <c r="AA884"/>
      <c r="AB884"/>
      <c r="AC884"/>
    </row>
    <row r="885" spans="1:29" x14ac:dyDescent="0.25">
      <c r="A885"/>
      <c r="B885"/>
      <c r="C885" s="92"/>
      <c r="L885" s="92"/>
      <c r="M885" s="92"/>
      <c r="Q885" s="115"/>
      <c r="R885" s="92"/>
      <c r="S885"/>
      <c r="T885"/>
      <c r="U885"/>
      <c r="V885"/>
      <c r="W885"/>
      <c r="X885"/>
      <c r="Y885"/>
      <c r="Z885"/>
      <c r="AA885"/>
      <c r="AB885"/>
      <c r="AC885"/>
    </row>
    <row r="886" spans="1:29" x14ac:dyDescent="0.25">
      <c r="A886"/>
      <c r="B886"/>
      <c r="C886" s="92"/>
      <c r="L886" s="92"/>
      <c r="M886" s="92"/>
      <c r="Q886" s="115"/>
      <c r="R886" s="92"/>
      <c r="S886"/>
      <c r="T886"/>
      <c r="U886"/>
      <c r="V886"/>
      <c r="W886"/>
      <c r="X886"/>
      <c r="Y886"/>
      <c r="Z886"/>
      <c r="AA886"/>
      <c r="AB886"/>
      <c r="AC886"/>
    </row>
    <row r="887" spans="1:29" x14ac:dyDescent="0.25">
      <c r="A887"/>
      <c r="B887"/>
      <c r="C887" s="92"/>
      <c r="L887" s="92"/>
      <c r="M887" s="92"/>
      <c r="Q887" s="115"/>
      <c r="R887" s="92"/>
      <c r="S887"/>
      <c r="T887"/>
      <c r="U887"/>
      <c r="V887"/>
      <c r="W887"/>
      <c r="X887"/>
      <c r="Y887"/>
      <c r="Z887"/>
      <c r="AA887"/>
      <c r="AB887"/>
      <c r="AC887"/>
    </row>
    <row r="888" spans="1:29" x14ac:dyDescent="0.25">
      <c r="A888"/>
      <c r="B888"/>
      <c r="C888" s="92"/>
      <c r="L888" s="92"/>
      <c r="M888" s="92"/>
      <c r="Q888" s="115"/>
      <c r="R888" s="92"/>
      <c r="S888"/>
      <c r="T888"/>
      <c r="U888"/>
      <c r="V888"/>
      <c r="W888"/>
      <c r="X888"/>
      <c r="Y888"/>
      <c r="Z888"/>
      <c r="AA888"/>
      <c r="AB888"/>
      <c r="AC888"/>
    </row>
    <row r="889" spans="1:29" x14ac:dyDescent="0.25">
      <c r="A889"/>
      <c r="B889"/>
      <c r="C889" s="92"/>
      <c r="L889" s="92"/>
      <c r="M889" s="92"/>
      <c r="Q889" s="115"/>
      <c r="R889" s="92"/>
      <c r="S889"/>
      <c r="T889"/>
      <c r="U889"/>
      <c r="V889"/>
      <c r="W889"/>
      <c r="X889"/>
      <c r="Y889"/>
      <c r="Z889"/>
      <c r="AA889"/>
      <c r="AB889"/>
      <c r="AC889"/>
    </row>
    <row r="890" spans="1:29" x14ac:dyDescent="0.25">
      <c r="A890"/>
      <c r="B890"/>
      <c r="C890" s="92"/>
      <c r="L890" s="92"/>
      <c r="M890" s="92"/>
      <c r="Q890" s="115"/>
      <c r="R890" s="92"/>
      <c r="S890"/>
      <c r="T890"/>
      <c r="U890"/>
      <c r="V890"/>
      <c r="W890"/>
      <c r="X890"/>
      <c r="Y890"/>
      <c r="Z890"/>
      <c r="AA890"/>
      <c r="AB890"/>
      <c r="AC890"/>
    </row>
    <row r="891" spans="1:29" x14ac:dyDescent="0.25">
      <c r="A891"/>
      <c r="B891"/>
      <c r="C891" s="92"/>
      <c r="L891" s="92"/>
      <c r="M891" s="92"/>
      <c r="Q891" s="115"/>
      <c r="R891" s="92"/>
      <c r="S891"/>
      <c r="T891"/>
      <c r="U891"/>
      <c r="V891"/>
      <c r="W891"/>
      <c r="X891"/>
      <c r="Y891"/>
      <c r="Z891"/>
      <c r="AA891"/>
      <c r="AB891"/>
      <c r="AC891"/>
    </row>
    <row r="892" spans="1:29" x14ac:dyDescent="0.25">
      <c r="A892"/>
      <c r="B892"/>
      <c r="C892" s="92"/>
      <c r="L892" s="92"/>
      <c r="M892" s="92"/>
      <c r="Q892" s="115"/>
      <c r="R892" s="92"/>
      <c r="S892"/>
      <c r="T892"/>
      <c r="U892"/>
      <c r="V892"/>
      <c r="W892"/>
      <c r="X892"/>
      <c r="Y892"/>
      <c r="Z892"/>
      <c r="AA892"/>
      <c r="AB892"/>
      <c r="AC892"/>
    </row>
    <row r="893" spans="1:29" x14ac:dyDescent="0.25">
      <c r="A893"/>
      <c r="B893"/>
      <c r="C893" s="92"/>
      <c r="L893" s="92"/>
      <c r="M893" s="92"/>
      <c r="Q893" s="115"/>
      <c r="R893" s="92"/>
      <c r="S893"/>
      <c r="T893"/>
      <c r="U893"/>
      <c r="V893"/>
      <c r="W893"/>
      <c r="X893"/>
      <c r="Y893"/>
      <c r="Z893"/>
      <c r="AA893"/>
      <c r="AB893"/>
      <c r="AC893"/>
    </row>
    <row r="894" spans="1:29" x14ac:dyDescent="0.25">
      <c r="A894"/>
      <c r="B894"/>
      <c r="C894" s="92"/>
      <c r="L894" s="92"/>
      <c r="M894" s="92"/>
      <c r="Q894" s="115"/>
      <c r="R894" s="92"/>
      <c r="S894"/>
      <c r="T894"/>
      <c r="U894"/>
      <c r="V894"/>
      <c r="W894"/>
      <c r="X894"/>
      <c r="Y894"/>
      <c r="Z894"/>
      <c r="AA894"/>
      <c r="AB894"/>
      <c r="AC894"/>
    </row>
    <row r="895" spans="1:29" x14ac:dyDescent="0.25">
      <c r="A895"/>
      <c r="B895"/>
      <c r="C895" s="92"/>
      <c r="L895" s="92"/>
      <c r="M895" s="92"/>
      <c r="Q895" s="115"/>
      <c r="R895" s="92"/>
      <c r="S895"/>
      <c r="T895"/>
      <c r="U895"/>
      <c r="V895"/>
      <c r="W895"/>
      <c r="X895"/>
      <c r="Y895"/>
      <c r="Z895"/>
      <c r="AA895"/>
      <c r="AB895"/>
      <c r="AC895"/>
    </row>
    <row r="896" spans="1:29" x14ac:dyDescent="0.25">
      <c r="A896"/>
      <c r="B896"/>
      <c r="C896" s="92"/>
      <c r="L896" s="92"/>
      <c r="M896" s="92"/>
      <c r="Q896" s="115"/>
      <c r="R896" s="92"/>
      <c r="S896"/>
      <c r="T896"/>
      <c r="U896"/>
      <c r="V896"/>
      <c r="W896"/>
      <c r="X896"/>
      <c r="Y896"/>
      <c r="Z896"/>
      <c r="AA896"/>
      <c r="AB896"/>
      <c r="AC896"/>
    </row>
    <row r="897" spans="1:29" x14ac:dyDescent="0.25">
      <c r="A897"/>
      <c r="B897"/>
      <c r="C897" s="92"/>
      <c r="L897" s="92"/>
      <c r="M897" s="92"/>
      <c r="Q897" s="115"/>
      <c r="R897" s="92"/>
      <c r="S897"/>
      <c r="T897"/>
      <c r="U897"/>
      <c r="V897"/>
      <c r="W897"/>
      <c r="X897"/>
      <c r="Y897"/>
      <c r="Z897"/>
      <c r="AA897"/>
      <c r="AB897"/>
      <c r="AC897"/>
    </row>
    <row r="898" spans="1:29" x14ac:dyDescent="0.25">
      <c r="A898"/>
      <c r="B898"/>
      <c r="C898" s="92"/>
      <c r="L898" s="92"/>
      <c r="M898" s="92"/>
      <c r="Q898" s="115"/>
      <c r="R898" s="92"/>
      <c r="S898"/>
      <c r="T898"/>
      <c r="U898"/>
      <c r="V898"/>
      <c r="W898"/>
      <c r="X898"/>
      <c r="Y898"/>
      <c r="Z898"/>
      <c r="AA898"/>
      <c r="AB898"/>
      <c r="AC898"/>
    </row>
    <row r="899" spans="1:29" x14ac:dyDescent="0.25">
      <c r="A899"/>
      <c r="B899"/>
      <c r="C899" s="92"/>
      <c r="L899" s="92"/>
      <c r="M899" s="92"/>
      <c r="Q899" s="115"/>
      <c r="R899" s="92"/>
      <c r="S899"/>
      <c r="T899"/>
      <c r="U899"/>
      <c r="V899"/>
      <c r="W899"/>
      <c r="X899"/>
      <c r="Y899"/>
      <c r="Z899"/>
      <c r="AA899"/>
      <c r="AB899"/>
      <c r="AC899"/>
    </row>
    <row r="900" spans="1:29" x14ac:dyDescent="0.25">
      <c r="A900"/>
      <c r="B900"/>
      <c r="C900" s="92"/>
      <c r="L900" s="92"/>
      <c r="M900" s="92"/>
      <c r="Q900" s="115"/>
      <c r="R900" s="92"/>
      <c r="S900"/>
      <c r="T900"/>
      <c r="U900"/>
      <c r="V900"/>
      <c r="W900"/>
      <c r="X900"/>
      <c r="Y900"/>
      <c r="Z900"/>
      <c r="AA900"/>
      <c r="AB900"/>
      <c r="AC900"/>
    </row>
    <row r="901" spans="1:29" x14ac:dyDescent="0.25">
      <c r="A901"/>
      <c r="B901"/>
      <c r="C901" s="92"/>
      <c r="L901" s="92"/>
      <c r="M901" s="92"/>
      <c r="Q901" s="115"/>
      <c r="R901" s="92"/>
      <c r="S901"/>
      <c r="T901"/>
      <c r="U901"/>
      <c r="V901"/>
      <c r="W901"/>
      <c r="X901"/>
      <c r="Y901"/>
      <c r="Z901"/>
      <c r="AA901"/>
      <c r="AB901"/>
      <c r="AC901"/>
    </row>
    <row r="902" spans="1:29" x14ac:dyDescent="0.25">
      <c r="A902"/>
      <c r="B902"/>
      <c r="C902" s="92"/>
      <c r="L902" s="92"/>
      <c r="M902" s="92"/>
      <c r="Q902" s="115"/>
      <c r="R902" s="92"/>
      <c r="S902"/>
      <c r="T902"/>
      <c r="U902"/>
      <c r="V902"/>
      <c r="W902"/>
      <c r="X902"/>
      <c r="Y902"/>
      <c r="Z902"/>
      <c r="AA902"/>
      <c r="AB902"/>
      <c r="AC902"/>
    </row>
    <row r="903" spans="1:29" x14ac:dyDescent="0.25">
      <c r="A903"/>
      <c r="B903"/>
      <c r="C903" s="92"/>
      <c r="L903" s="92"/>
      <c r="M903" s="92"/>
      <c r="Q903" s="115"/>
      <c r="R903" s="92"/>
      <c r="S903"/>
      <c r="T903"/>
      <c r="U903"/>
      <c r="V903"/>
      <c r="W903"/>
      <c r="X903"/>
      <c r="Y903"/>
      <c r="Z903"/>
      <c r="AA903"/>
      <c r="AB903"/>
      <c r="AC903"/>
    </row>
    <row r="904" spans="1:29" x14ac:dyDescent="0.25">
      <c r="A904"/>
      <c r="B904"/>
      <c r="C904" s="92"/>
      <c r="L904" s="92"/>
      <c r="M904" s="92"/>
      <c r="Q904" s="115"/>
      <c r="R904" s="92"/>
      <c r="S904"/>
      <c r="T904"/>
      <c r="U904"/>
      <c r="V904"/>
      <c r="W904"/>
      <c r="X904"/>
      <c r="Y904"/>
      <c r="Z904"/>
      <c r="AA904"/>
      <c r="AB904"/>
      <c r="AC904"/>
    </row>
    <row r="905" spans="1:29" x14ac:dyDescent="0.25">
      <c r="A905"/>
      <c r="B905"/>
      <c r="C905" s="92"/>
      <c r="L905" s="92"/>
      <c r="M905" s="92"/>
      <c r="Q905" s="115"/>
      <c r="R905" s="92"/>
      <c r="S905"/>
      <c r="T905"/>
      <c r="U905"/>
      <c r="V905"/>
      <c r="W905"/>
      <c r="X905"/>
      <c r="Y905"/>
      <c r="Z905"/>
      <c r="AA905"/>
      <c r="AB905"/>
      <c r="AC905"/>
    </row>
    <row r="906" spans="1:29" x14ac:dyDescent="0.25">
      <c r="A906"/>
      <c r="B906"/>
      <c r="C906" s="92"/>
      <c r="L906" s="92"/>
      <c r="M906" s="92"/>
      <c r="Q906" s="115"/>
      <c r="R906" s="92"/>
      <c r="S906"/>
      <c r="T906"/>
      <c r="U906"/>
      <c r="V906"/>
      <c r="W906"/>
      <c r="X906"/>
      <c r="Y906"/>
      <c r="Z906"/>
      <c r="AA906"/>
      <c r="AB906"/>
      <c r="AC906"/>
    </row>
    <row r="907" spans="1:29" x14ac:dyDescent="0.25">
      <c r="A907"/>
      <c r="B907"/>
      <c r="C907" s="92"/>
      <c r="L907" s="92"/>
      <c r="M907" s="92"/>
      <c r="Q907" s="115"/>
      <c r="R907" s="92"/>
      <c r="S907"/>
      <c r="T907"/>
      <c r="U907"/>
      <c r="V907"/>
      <c r="W907"/>
      <c r="X907"/>
      <c r="Y907"/>
      <c r="Z907"/>
      <c r="AA907"/>
      <c r="AB907"/>
      <c r="AC907"/>
    </row>
    <row r="908" spans="1:29" x14ac:dyDescent="0.25">
      <c r="A908"/>
      <c r="B908"/>
      <c r="C908" s="92"/>
      <c r="L908" s="92"/>
      <c r="M908" s="92"/>
      <c r="Q908" s="115"/>
      <c r="R908" s="92"/>
      <c r="S908"/>
      <c r="T908"/>
      <c r="U908"/>
      <c r="V908"/>
      <c r="W908"/>
      <c r="X908"/>
      <c r="Y908"/>
      <c r="Z908"/>
      <c r="AA908"/>
      <c r="AB908"/>
      <c r="AC908"/>
    </row>
    <row r="909" spans="1:29" x14ac:dyDescent="0.25">
      <c r="A909"/>
      <c r="B909"/>
      <c r="C909" s="92"/>
      <c r="L909" s="92"/>
      <c r="M909" s="92"/>
      <c r="Q909" s="115"/>
      <c r="R909" s="92"/>
      <c r="S909"/>
      <c r="T909"/>
      <c r="U909"/>
      <c r="V909"/>
      <c r="W909"/>
      <c r="X909"/>
      <c r="Y909"/>
      <c r="Z909"/>
      <c r="AA909"/>
      <c r="AB909"/>
      <c r="AC909"/>
    </row>
    <row r="910" spans="1:29" x14ac:dyDescent="0.25">
      <c r="A910"/>
      <c r="B910"/>
      <c r="C910" s="92"/>
      <c r="L910" s="92"/>
      <c r="M910" s="92"/>
      <c r="Q910" s="115"/>
      <c r="R910" s="92"/>
      <c r="S910"/>
      <c r="T910"/>
      <c r="U910"/>
      <c r="V910"/>
      <c r="W910"/>
      <c r="X910"/>
      <c r="Y910"/>
      <c r="Z910"/>
      <c r="AA910"/>
      <c r="AB910"/>
      <c r="AC910"/>
    </row>
    <row r="911" spans="1:29" x14ac:dyDescent="0.25">
      <c r="A911"/>
      <c r="B911"/>
      <c r="C911" s="92"/>
      <c r="L911" s="92"/>
      <c r="M911" s="92"/>
      <c r="Q911" s="115"/>
      <c r="R911" s="92"/>
      <c r="S911"/>
      <c r="T911"/>
      <c r="U911"/>
      <c r="V911"/>
      <c r="W911"/>
      <c r="X911"/>
      <c r="Y911"/>
      <c r="Z911"/>
      <c r="AA911"/>
      <c r="AB911"/>
      <c r="AC911"/>
    </row>
    <row r="912" spans="1:29" x14ac:dyDescent="0.25">
      <c r="A912"/>
      <c r="B912"/>
      <c r="C912" s="92"/>
      <c r="L912" s="92"/>
      <c r="M912" s="92"/>
      <c r="Q912" s="115"/>
      <c r="R912" s="92"/>
      <c r="S912"/>
      <c r="T912"/>
      <c r="U912"/>
      <c r="V912"/>
      <c r="W912"/>
      <c r="X912"/>
      <c r="Y912"/>
      <c r="Z912"/>
      <c r="AA912"/>
      <c r="AB912"/>
      <c r="AC912"/>
    </row>
    <row r="913" spans="1:29" x14ac:dyDescent="0.25">
      <c r="A913"/>
      <c r="B913"/>
      <c r="C913" s="92"/>
      <c r="L913" s="92"/>
      <c r="M913" s="92"/>
      <c r="Q913" s="115"/>
      <c r="R913" s="92"/>
      <c r="S913"/>
      <c r="T913"/>
      <c r="U913"/>
      <c r="V913"/>
      <c r="W913"/>
      <c r="X913"/>
      <c r="Y913"/>
      <c r="Z913"/>
      <c r="AA913"/>
      <c r="AB913"/>
      <c r="AC913"/>
    </row>
    <row r="914" spans="1:29" x14ac:dyDescent="0.25">
      <c r="A914"/>
      <c r="B914"/>
      <c r="C914" s="92"/>
      <c r="L914" s="92"/>
      <c r="M914" s="92"/>
      <c r="Q914" s="115"/>
      <c r="R914" s="92"/>
      <c r="S914"/>
      <c r="T914"/>
      <c r="U914"/>
      <c r="V914"/>
      <c r="W914"/>
      <c r="X914"/>
      <c r="Y914"/>
      <c r="Z914"/>
      <c r="AA914"/>
      <c r="AB914"/>
      <c r="AC914"/>
    </row>
    <row r="915" spans="1:29" x14ac:dyDescent="0.25">
      <c r="A915"/>
      <c r="B915"/>
      <c r="C915" s="92"/>
      <c r="L915" s="92"/>
      <c r="M915" s="92"/>
      <c r="Q915" s="115"/>
      <c r="R915" s="92"/>
      <c r="S915"/>
      <c r="T915"/>
      <c r="U915"/>
      <c r="V915"/>
      <c r="W915"/>
      <c r="X915"/>
      <c r="Y915"/>
      <c r="Z915"/>
      <c r="AA915"/>
      <c r="AB915"/>
      <c r="AC915"/>
    </row>
    <row r="916" spans="1:29" x14ac:dyDescent="0.25">
      <c r="A916"/>
      <c r="B916"/>
      <c r="C916" s="92"/>
      <c r="L916" s="92"/>
      <c r="M916" s="92"/>
      <c r="Q916" s="115"/>
      <c r="R916" s="92"/>
      <c r="S916"/>
      <c r="T916"/>
      <c r="U916"/>
      <c r="V916"/>
      <c r="W916"/>
      <c r="X916"/>
      <c r="Y916"/>
      <c r="Z916"/>
      <c r="AA916"/>
      <c r="AB916"/>
      <c r="AC916"/>
    </row>
    <row r="917" spans="1:29" x14ac:dyDescent="0.25">
      <c r="A917"/>
      <c r="B917"/>
      <c r="C917" s="92"/>
      <c r="L917" s="92"/>
      <c r="M917" s="92"/>
      <c r="Q917" s="115"/>
      <c r="R917" s="92"/>
      <c r="S917"/>
      <c r="T917"/>
      <c r="U917"/>
      <c r="V917"/>
      <c r="W917"/>
      <c r="X917"/>
      <c r="Y917"/>
      <c r="Z917"/>
      <c r="AA917"/>
      <c r="AB917"/>
      <c r="AC917"/>
    </row>
    <row r="918" spans="1:29" x14ac:dyDescent="0.25">
      <c r="A918"/>
      <c r="B918"/>
      <c r="C918" s="92"/>
      <c r="L918" s="92"/>
      <c r="M918" s="92"/>
      <c r="Q918" s="115"/>
      <c r="R918" s="92"/>
      <c r="S918"/>
      <c r="T918"/>
      <c r="U918"/>
      <c r="V918"/>
      <c r="W918"/>
      <c r="X918"/>
      <c r="Y918"/>
      <c r="Z918"/>
      <c r="AA918"/>
      <c r="AB918"/>
      <c r="AC918"/>
    </row>
    <row r="919" spans="1:29" x14ac:dyDescent="0.25">
      <c r="A919"/>
      <c r="B919"/>
      <c r="C919" s="92"/>
      <c r="L919" s="92"/>
      <c r="M919" s="92"/>
      <c r="Q919" s="115"/>
      <c r="R919" s="92"/>
      <c r="S919"/>
      <c r="T919"/>
      <c r="U919"/>
      <c r="V919"/>
      <c r="W919"/>
      <c r="X919"/>
      <c r="Y919"/>
      <c r="Z919"/>
      <c r="AA919"/>
      <c r="AB919"/>
      <c r="AC919"/>
    </row>
    <row r="920" spans="1:29" x14ac:dyDescent="0.25">
      <c r="A920"/>
      <c r="B920"/>
      <c r="C920" s="92"/>
      <c r="L920" s="92"/>
      <c r="M920" s="92"/>
      <c r="Q920" s="115"/>
      <c r="R920" s="92"/>
      <c r="S920"/>
      <c r="T920"/>
      <c r="U920"/>
      <c r="V920"/>
      <c r="W920"/>
      <c r="X920"/>
      <c r="Y920"/>
      <c r="Z920"/>
      <c r="AA920"/>
      <c r="AB920"/>
      <c r="AC920"/>
    </row>
    <row r="921" spans="1:29" x14ac:dyDescent="0.25">
      <c r="A921"/>
      <c r="B921"/>
      <c r="C921" s="92"/>
      <c r="L921" s="92"/>
      <c r="M921" s="92"/>
      <c r="Q921" s="115"/>
      <c r="R921" s="92"/>
      <c r="S921"/>
      <c r="T921"/>
      <c r="U921"/>
      <c r="V921"/>
      <c r="W921"/>
      <c r="X921"/>
      <c r="Y921"/>
      <c r="Z921"/>
      <c r="AA921"/>
      <c r="AB921"/>
      <c r="AC921"/>
    </row>
    <row r="922" spans="1:29" x14ac:dyDescent="0.25">
      <c r="A922"/>
      <c r="B922"/>
      <c r="C922" s="92"/>
      <c r="L922" s="92"/>
      <c r="M922" s="92"/>
      <c r="Q922" s="115"/>
      <c r="R922" s="92"/>
      <c r="S922"/>
      <c r="T922"/>
      <c r="U922"/>
      <c r="V922"/>
      <c r="W922"/>
      <c r="X922"/>
      <c r="Y922"/>
      <c r="Z922"/>
      <c r="AA922"/>
      <c r="AB922"/>
      <c r="AC922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7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12.7109375" customWidth="1"/>
    <col min="2" max="2" width="18.28515625" customWidth="1"/>
    <col min="3" max="3" width="12.7109375" customWidth="1"/>
    <col min="4" max="4" width="24.7109375" customWidth="1"/>
    <col min="5" max="10" width="18.140625" customWidth="1"/>
  </cols>
  <sheetData>
    <row r="1" spans="1:10" s="216" customFormat="1" ht="24" thickBot="1" x14ac:dyDescent="0.4">
      <c r="A1" s="215" t="s">
        <v>319</v>
      </c>
    </row>
    <row r="2" spans="1:10" x14ac:dyDescent="0.25">
      <c r="B2" s="125" t="s">
        <v>318</v>
      </c>
      <c r="C2" s="125" t="s">
        <v>317</v>
      </c>
      <c r="D2" s="125" t="s">
        <v>316</v>
      </c>
      <c r="E2" s="125" t="s">
        <v>315</v>
      </c>
      <c r="F2" s="125" t="s">
        <v>314</v>
      </c>
      <c r="G2" s="125" t="s">
        <v>313</v>
      </c>
      <c r="H2" s="125" t="s">
        <v>312</v>
      </c>
      <c r="I2" s="125" t="s">
        <v>311</v>
      </c>
      <c r="J2" s="125" t="s">
        <v>310</v>
      </c>
    </row>
    <row r="3" spans="1:10" ht="15.75" x14ac:dyDescent="0.25">
      <c r="A3" s="124" t="s">
        <v>309</v>
      </c>
      <c r="B3" s="123" t="s">
        <v>357</v>
      </c>
      <c r="C3" s="122">
        <v>1</v>
      </c>
      <c r="D3" s="171" t="str">
        <f>B3</f>
        <v>Telekom</v>
      </c>
      <c r="E3" s="168">
        <v>226</v>
      </c>
      <c r="F3" s="168">
        <v>0</v>
      </c>
      <c r="G3" s="168">
        <v>116</v>
      </c>
      <c r="H3" s="121">
        <v>255</v>
      </c>
      <c r="I3" s="121">
        <v>255</v>
      </c>
      <c r="J3" s="121">
        <v>255</v>
      </c>
    </row>
    <row r="4" spans="1:10" ht="15.75" x14ac:dyDescent="0.25">
      <c r="A4" s="124" t="s">
        <v>308</v>
      </c>
      <c r="B4" s="123" t="s">
        <v>351</v>
      </c>
      <c r="C4" s="122">
        <v>1</v>
      </c>
      <c r="D4" s="169" t="str">
        <f>B4</f>
        <v>Vodafone</v>
      </c>
      <c r="E4" s="168">
        <v>218</v>
      </c>
      <c r="F4" s="168">
        <v>41</v>
      </c>
      <c r="G4" s="168">
        <v>28</v>
      </c>
      <c r="H4" s="121">
        <v>255</v>
      </c>
      <c r="I4" s="121">
        <v>255</v>
      </c>
      <c r="J4" s="121">
        <v>255</v>
      </c>
    </row>
    <row r="5" spans="1:10" ht="15.75" x14ac:dyDescent="0.25">
      <c r="A5" s="124" t="s">
        <v>307</v>
      </c>
      <c r="B5" s="123" t="s">
        <v>358</v>
      </c>
      <c r="C5" s="122">
        <v>1</v>
      </c>
      <c r="D5" s="172" t="str">
        <f>B5</f>
        <v>Telefonica</v>
      </c>
      <c r="E5" s="121">
        <v>1</v>
      </c>
      <c r="F5" s="121">
        <v>66</v>
      </c>
      <c r="G5" s="121">
        <v>104</v>
      </c>
      <c r="H5" s="121">
        <v>255</v>
      </c>
      <c r="I5" s="121">
        <v>255</v>
      </c>
      <c r="J5" s="121">
        <v>255</v>
      </c>
    </row>
    <row r="6" spans="1:10" ht="15.75" x14ac:dyDescent="0.25">
      <c r="A6" s="124" t="s">
        <v>75</v>
      </c>
      <c r="B6" s="123" t="str">
        <f>A6</f>
        <v>Operator 4</v>
      </c>
      <c r="C6" s="122">
        <v>0</v>
      </c>
      <c r="D6" s="150" t="str">
        <f>B6</f>
        <v>Operator 4</v>
      </c>
      <c r="E6" s="121">
        <v>54</v>
      </c>
      <c r="F6" s="121">
        <v>96</v>
      </c>
      <c r="G6" s="121">
        <v>146</v>
      </c>
      <c r="H6" s="121">
        <v>255</v>
      </c>
      <c r="I6" s="121">
        <v>255</v>
      </c>
      <c r="J6" s="121">
        <v>255</v>
      </c>
    </row>
    <row r="7" spans="1:10" ht="15.75" x14ac:dyDescent="0.25">
      <c r="A7" s="124" t="s">
        <v>74</v>
      </c>
      <c r="B7" s="123" t="str">
        <f>A7</f>
        <v>Operator 5</v>
      </c>
      <c r="C7" s="122">
        <v>0</v>
      </c>
      <c r="D7" s="150" t="str">
        <f>B7</f>
        <v>Operator 5</v>
      </c>
      <c r="E7" s="121">
        <v>54</v>
      </c>
      <c r="F7" s="121">
        <v>96</v>
      </c>
      <c r="G7" s="121">
        <v>146</v>
      </c>
      <c r="H7" s="121">
        <v>255</v>
      </c>
      <c r="I7" s="121">
        <v>255</v>
      </c>
      <c r="J7" s="121">
        <v>255</v>
      </c>
    </row>
  </sheetData>
  <mergeCells count="1">
    <mergeCell ref="A1:XFD1"/>
  </mergeCells>
  <conditionalFormatting sqref="C3:C7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eviewColors">
                <anchor moveWithCells="1" sizeWithCells="1">
                  <from>
                    <xdr:col>0</xdr:col>
                    <xdr:colOff>114300</xdr:colOff>
                    <xdr:row>7</xdr:row>
                    <xdr:rowOff>95250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pplyColors">
                <anchor moveWithCells="1" sizeWithCells="1">
                  <from>
                    <xdr:col>4</xdr:col>
                    <xdr:colOff>38100</xdr:colOff>
                    <xdr:row>7</xdr:row>
                    <xdr:rowOff>104775</xdr:rowOff>
                  </from>
                  <to>
                    <xdr:col>7</xdr:col>
                    <xdr:colOff>857250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keAllVisible">
                <anchor moveWithCells="1" sizeWithCells="1">
                  <from>
                    <xdr:col>0</xdr:col>
                    <xdr:colOff>123825</xdr:colOff>
                    <xdr:row>10</xdr:row>
                    <xdr:rowOff>47625</xdr:rowOff>
                  </from>
                  <to>
                    <xdr:col>7</xdr:col>
                    <xdr:colOff>857250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earVendorOperator1">
                <anchor moveWithCells="1" sizeWithCells="1">
                  <from>
                    <xdr:col>10</xdr:col>
                    <xdr:colOff>219075</xdr:colOff>
                    <xdr:row>2</xdr:row>
                    <xdr:rowOff>0</xdr:rowOff>
                  </from>
                  <to>
                    <xdr:col>12</xdr:col>
                    <xdr:colOff>600075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clearVendorOperator2">
                <anchor moveWithCells="1" sizeWithCells="1">
                  <from>
                    <xdr:col>10</xdr:col>
                    <xdr:colOff>219075</xdr:colOff>
                    <xdr:row>3</xdr:row>
                    <xdr:rowOff>19050</xdr:rowOff>
                  </from>
                  <to>
                    <xdr:col>12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clearVendorOperator3">
                <anchor moveWithCells="1" sizeWithCells="1">
                  <from>
                    <xdr:col>10</xdr:col>
                    <xdr:colOff>219075</xdr:colOff>
                    <xdr:row>4</xdr:row>
                    <xdr:rowOff>38100</xdr:rowOff>
                  </from>
                  <to>
                    <xdr:col>12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clearVendorOperator4">
                <anchor moveWithCells="1" sizeWithCells="1">
                  <from>
                    <xdr:col>10</xdr:col>
                    <xdr:colOff>219075</xdr:colOff>
                    <xdr:row>5</xdr:row>
                    <xdr:rowOff>57150</xdr:rowOff>
                  </from>
                  <to>
                    <xdr:col>12</xdr:col>
                    <xdr:colOff>600075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clearVendorOperator5">
                <anchor moveWithCells="1" sizeWithCells="1">
                  <from>
                    <xdr:col>10</xdr:col>
                    <xdr:colOff>228600</xdr:colOff>
                    <xdr:row>6</xdr:row>
                    <xdr:rowOff>66675</xdr:rowOff>
                  </from>
                  <to>
                    <xdr:col>13</xdr:col>
                    <xdr:colOff>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68</vt:i4>
      </vt:variant>
    </vt:vector>
  </HeadingPairs>
  <TitlesOfParts>
    <vt:vector size="78" baseType="lpstr">
      <vt:lpstr>MASTER</vt:lpstr>
      <vt:lpstr>KPI Definition</vt:lpstr>
      <vt:lpstr>RANKING</vt:lpstr>
      <vt:lpstr>Operator1</vt:lpstr>
      <vt:lpstr>Operator2</vt:lpstr>
      <vt:lpstr>Operator3</vt:lpstr>
      <vt:lpstr>Operator4</vt:lpstr>
      <vt:lpstr>Operator5</vt:lpstr>
      <vt:lpstr>Lists</vt:lpstr>
      <vt:lpstr>SetupEnviroment</vt:lpstr>
      <vt:lpstr>lists1</vt:lpstr>
      <vt:lpstr>lists10</vt:lpstr>
      <vt:lpstr>lists11</vt:lpstr>
      <vt:lpstr>lists12</vt:lpstr>
      <vt:lpstr>lists13</vt:lpstr>
      <vt:lpstr>lists14</vt:lpstr>
      <vt:lpstr>lists15</vt:lpstr>
      <vt:lpstr>lists16</vt:lpstr>
      <vt:lpstr>lists17</vt:lpstr>
      <vt:lpstr>lists18</vt:lpstr>
      <vt:lpstr>lists19</vt:lpstr>
      <vt:lpstr>lists2</vt:lpstr>
      <vt:lpstr>lists20</vt:lpstr>
      <vt:lpstr>lists21</vt:lpstr>
      <vt:lpstr>lists22</vt:lpstr>
      <vt:lpstr>lists23</vt:lpstr>
      <vt:lpstr>lists24</vt:lpstr>
      <vt:lpstr>lists25</vt:lpstr>
      <vt:lpstr>lists26</vt:lpstr>
      <vt:lpstr>lists27</vt:lpstr>
      <vt:lpstr>lists28</vt:lpstr>
      <vt:lpstr>lists3</vt:lpstr>
      <vt:lpstr>lists4</vt:lpstr>
      <vt:lpstr>lists5</vt:lpstr>
      <vt:lpstr>lists6</vt:lpstr>
      <vt:lpstr>lists7</vt:lpstr>
      <vt:lpstr>lists8</vt:lpstr>
      <vt:lpstr>lists9</vt:lpstr>
      <vt:lpstr>O1L1LQ</vt:lpstr>
      <vt:lpstr>O1L2LQ</vt:lpstr>
      <vt:lpstr>O1LQ</vt:lpstr>
      <vt:lpstr>O1ST</vt:lpstr>
      <vt:lpstr>O2L1LQ</vt:lpstr>
      <vt:lpstr>O2L2LQ</vt:lpstr>
      <vt:lpstr>O2LQ</vt:lpstr>
      <vt:lpstr>O2ST</vt:lpstr>
      <vt:lpstr>O3L1LQ</vt:lpstr>
      <vt:lpstr>O3L2LQ</vt:lpstr>
      <vt:lpstr>O3LQ</vt:lpstr>
      <vt:lpstr>O3ST</vt:lpstr>
      <vt:lpstr>O4L1LQ</vt:lpstr>
      <vt:lpstr>O4L2LQ</vt:lpstr>
      <vt:lpstr>O4LQ</vt:lpstr>
      <vt:lpstr>O4ST</vt:lpstr>
      <vt:lpstr>O5L1LQ</vt:lpstr>
      <vt:lpstr>O5L2LQ</vt:lpstr>
      <vt:lpstr>O5LQ</vt:lpstr>
      <vt:lpstr>O5ST</vt:lpstr>
      <vt:lpstr>sO1L1LQ</vt:lpstr>
      <vt:lpstr>sO1L2LQ</vt:lpstr>
      <vt:lpstr>sO1LQ</vt:lpstr>
      <vt:lpstr>sO1ST</vt:lpstr>
      <vt:lpstr>sO2L1LQ</vt:lpstr>
      <vt:lpstr>sO2L2LQ</vt:lpstr>
      <vt:lpstr>sO2LQ</vt:lpstr>
      <vt:lpstr>sO2ST</vt:lpstr>
      <vt:lpstr>sO3L1LQ</vt:lpstr>
      <vt:lpstr>sO3L2LQ</vt:lpstr>
      <vt:lpstr>sO3LQ</vt:lpstr>
      <vt:lpstr>sO3ST</vt:lpstr>
      <vt:lpstr>sO4L1LQ</vt:lpstr>
      <vt:lpstr>sO4L2LQ</vt:lpstr>
      <vt:lpstr>sO4LQ</vt:lpstr>
      <vt:lpstr>sO4ST</vt:lpstr>
      <vt:lpstr>sO5L1LQ</vt:lpstr>
      <vt:lpstr>sO5L2LQ</vt:lpstr>
      <vt:lpstr>sO5LQ</vt:lpstr>
      <vt:lpstr>sO5ST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Tomislav Miksa</dc:creator>
  <cp:lastModifiedBy>Tomislav Miksa</cp:lastModifiedBy>
  <dcterms:created xsi:type="dcterms:W3CDTF">2018-02-22T09:13:09Z</dcterms:created>
  <dcterms:modified xsi:type="dcterms:W3CDTF">2019-06-27T11:37:19Z</dcterms:modified>
</cp:coreProperties>
</file>